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/>
  <mc:AlternateContent xmlns:mc="http://schemas.openxmlformats.org/markup-compatibility/2006">
    <mc:Choice Requires="x15">
      <x15ac:absPath xmlns:x15ac="http://schemas.microsoft.com/office/spreadsheetml/2010/11/ac" url="C:\Users\Owner\Dropbox (Personal)\NSF_Invert_Photos\"/>
    </mc:Choice>
  </mc:AlternateContent>
  <bookViews>
    <workbookView xWindow="0" yWindow="0" windowWidth="19200" windowHeight="8070"/>
  </bookViews>
  <sheets>
    <sheet name="Organism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5" i="1" l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208" i="1" l="1"/>
  <c r="M431" i="1" l="1"/>
</calcChain>
</file>

<file path=xl/sharedStrings.xml><?xml version="1.0" encoding="utf-8"?>
<sst xmlns="http://schemas.openxmlformats.org/spreadsheetml/2006/main" count="4430" uniqueCount="698">
  <si>
    <t>Class</t>
  </si>
  <si>
    <t>Order</t>
  </si>
  <si>
    <t>Family</t>
  </si>
  <si>
    <t>Genus</t>
  </si>
  <si>
    <t>Species</t>
  </si>
  <si>
    <t>Astacidae</t>
  </si>
  <si>
    <t>Asellidae</t>
  </si>
  <si>
    <t>b</t>
  </si>
  <si>
    <t>n</t>
  </si>
  <si>
    <t>NC</t>
  </si>
  <si>
    <t>ADH</t>
  </si>
  <si>
    <t>JBW</t>
  </si>
  <si>
    <t>Planariidae</t>
  </si>
  <si>
    <t>Cura</t>
  </si>
  <si>
    <t>VA</t>
  </si>
  <si>
    <t>LAS</t>
  </si>
  <si>
    <t>Dugesia</t>
  </si>
  <si>
    <t>Decapoda</t>
  </si>
  <si>
    <t>Cambaridae</t>
  </si>
  <si>
    <t>Cambarus</t>
  </si>
  <si>
    <t>luteus</t>
  </si>
  <si>
    <t>MO</t>
  </si>
  <si>
    <t>propinquus</t>
  </si>
  <si>
    <t>MI</t>
  </si>
  <si>
    <t>punctimanus</t>
  </si>
  <si>
    <t>Pacifastacus</t>
  </si>
  <si>
    <t>OR</t>
  </si>
  <si>
    <t>trowbridgii</t>
  </si>
  <si>
    <t>leniusculus</t>
  </si>
  <si>
    <t>Isopoda</t>
  </si>
  <si>
    <t>Turbellaria</t>
  </si>
  <si>
    <t>Foremani</t>
  </si>
  <si>
    <t>Tigrina</t>
  </si>
  <si>
    <t>Crustacea</t>
  </si>
  <si>
    <t>bartonii</t>
  </si>
  <si>
    <t>DW/AFDM</t>
  </si>
  <si>
    <t>AFDM</t>
  </si>
  <si>
    <t>DW</t>
  </si>
  <si>
    <t>Oroconectes</t>
  </si>
  <si>
    <t>Gender</t>
  </si>
  <si>
    <t>Note</t>
  </si>
  <si>
    <t>Subspp</t>
  </si>
  <si>
    <t>Gammarus</t>
  </si>
  <si>
    <t>M</t>
  </si>
  <si>
    <t>F</t>
  </si>
  <si>
    <t>Carapace</t>
  </si>
  <si>
    <t>a</t>
  </si>
  <si>
    <t>a_1_se</t>
  </si>
  <si>
    <t>b_1_se</t>
  </si>
  <si>
    <t>%ash</t>
  </si>
  <si>
    <t>len range max (mm)</t>
  </si>
  <si>
    <t>%ash_1_se</t>
  </si>
  <si>
    <t>ADH JBW</t>
  </si>
  <si>
    <t>RABENI 1992</t>
  </si>
  <si>
    <t>STELZER AND BURTON 1993</t>
  </si>
  <si>
    <t>HURYN AND WALLACE 1987</t>
  </si>
  <si>
    <t>MASON 1975</t>
  </si>
  <si>
    <t>racovitzai</t>
  </si>
  <si>
    <t>Lirceus</t>
  </si>
  <si>
    <t>lineatus</t>
  </si>
  <si>
    <t>Amphipoda</t>
  </si>
  <si>
    <t>Crangonyctidae</t>
  </si>
  <si>
    <t>Gammaridae</t>
  </si>
  <si>
    <t>Pontoporeiidae</t>
  </si>
  <si>
    <t>Crangonyx</t>
  </si>
  <si>
    <t>gracilus</t>
  </si>
  <si>
    <t>richmondensis</t>
  </si>
  <si>
    <t>minus</t>
  </si>
  <si>
    <t>pseudolimnaeus</t>
  </si>
  <si>
    <t>Pontoporeia</t>
  </si>
  <si>
    <t>hoyi</t>
  </si>
  <si>
    <t>shallow</t>
  </si>
  <si>
    <t>deep</t>
  </si>
  <si>
    <t>Insecta</t>
  </si>
  <si>
    <t>Ephemeroptera</t>
  </si>
  <si>
    <t>Ameletidae</t>
  </si>
  <si>
    <t>Ameletus</t>
  </si>
  <si>
    <t>Baetidae</t>
  </si>
  <si>
    <t>Baetis</t>
  </si>
  <si>
    <t>pygmaeus</t>
  </si>
  <si>
    <t>Callibaetis</t>
  </si>
  <si>
    <t>Heterocloeon</t>
  </si>
  <si>
    <t>Pseudocloeon</t>
  </si>
  <si>
    <t>Baetiscidae</t>
  </si>
  <si>
    <t>Baetisca</t>
  </si>
  <si>
    <t>Caenidae</t>
  </si>
  <si>
    <t>Caenis</t>
  </si>
  <si>
    <t>diminuta</t>
  </si>
  <si>
    <t>Ephemerellidae</t>
  </si>
  <si>
    <t>r2</t>
  </si>
  <si>
    <t>Caecidotea</t>
  </si>
  <si>
    <t>GA</t>
  </si>
  <si>
    <t>PA</t>
  </si>
  <si>
    <t>ON</t>
  </si>
  <si>
    <t>QC</t>
  </si>
  <si>
    <t>CA</t>
  </si>
  <si>
    <t>AL</t>
  </si>
  <si>
    <t>SC</t>
  </si>
  <si>
    <t>ACB</t>
  </si>
  <si>
    <t>Basset and Glazier 1995</t>
  </si>
  <si>
    <t>Marchant and Hynes 1981</t>
  </si>
  <si>
    <t>Johnson 1988</t>
  </si>
  <si>
    <t>Winnell and White 1984</t>
  </si>
  <si>
    <t>Lauzon and Harper 1988</t>
  </si>
  <si>
    <t>Smock 1980</t>
  </si>
  <si>
    <t>Wallace Gurtz 1986</t>
  </si>
  <si>
    <t>Drunella</t>
  </si>
  <si>
    <t>Ephemerella</t>
  </si>
  <si>
    <t>Eurylophella</t>
  </si>
  <si>
    <t>temporalis</t>
  </si>
  <si>
    <t>versimilis</t>
  </si>
  <si>
    <t>Seratella</t>
  </si>
  <si>
    <t>Ephemeridae</t>
  </si>
  <si>
    <t>Ephemera</t>
  </si>
  <si>
    <t>Hexagenia</t>
  </si>
  <si>
    <t>limbata</t>
  </si>
  <si>
    <t>Heptageniidae</t>
  </si>
  <si>
    <t>Epeorus</t>
  </si>
  <si>
    <t>dispar</t>
  </si>
  <si>
    <t>pleuralis</t>
  </si>
  <si>
    <t>Heptagenia</t>
  </si>
  <si>
    <t>Leucrocuta</t>
  </si>
  <si>
    <t>Nixe</t>
  </si>
  <si>
    <t>Stenacron</t>
  </si>
  <si>
    <t>Stenonema</t>
  </si>
  <si>
    <t>modestum</t>
  </si>
  <si>
    <t>interpunctatum</t>
  </si>
  <si>
    <t>carolina</t>
  </si>
  <si>
    <t>meririvulanum</t>
  </si>
  <si>
    <t>Isonychiidae</t>
  </si>
  <si>
    <t>Isonychia</t>
  </si>
  <si>
    <t>Leptophlebiidae</t>
  </si>
  <si>
    <t>Habrophlebia</t>
  </si>
  <si>
    <t>vibrans</t>
  </si>
  <si>
    <t>Leptophlebia</t>
  </si>
  <si>
    <t>Paraleptophlebia</t>
  </si>
  <si>
    <t>munda</t>
  </si>
  <si>
    <t>Len range min (mm)</t>
  </si>
  <si>
    <t>KS</t>
  </si>
  <si>
    <t>SD/NE</t>
  </si>
  <si>
    <t>Hawkins 1986</t>
  </si>
  <si>
    <t>acb</t>
  </si>
  <si>
    <t>las</t>
  </si>
  <si>
    <t>adh</t>
  </si>
  <si>
    <t>horst and marzolf 1975</t>
  </si>
  <si>
    <t>hudson and swanson 1972</t>
  </si>
  <si>
    <t>smock 1980</t>
  </si>
  <si>
    <t>rowe and berrill 1989</t>
  </si>
  <si>
    <t>Benke and jacobi 1994</t>
  </si>
  <si>
    <t>Polymitarcyidae</t>
  </si>
  <si>
    <t>Ephoron</t>
  </si>
  <si>
    <t>album</t>
  </si>
  <si>
    <t>Siplonuridae</t>
  </si>
  <si>
    <t>aerodromia</t>
  </si>
  <si>
    <t xml:space="preserve">Siphlonurus </t>
  </si>
  <si>
    <t>Siphlonisca</t>
  </si>
  <si>
    <t>Tricorythidae</t>
  </si>
  <si>
    <t>minutus</t>
  </si>
  <si>
    <t>Tricorythodes</t>
  </si>
  <si>
    <t>Odonata</t>
  </si>
  <si>
    <t>Zygoptera</t>
  </si>
  <si>
    <t>Calopteryx</t>
  </si>
  <si>
    <t>Coenagrionidae</t>
  </si>
  <si>
    <t>Calopterygidae</t>
  </si>
  <si>
    <t>Argia</t>
  </si>
  <si>
    <t>Ischnura</t>
  </si>
  <si>
    <t>Anisoptera</t>
  </si>
  <si>
    <t>Aeshnidae</t>
  </si>
  <si>
    <t>Boyeria</t>
  </si>
  <si>
    <t>Suborder</t>
  </si>
  <si>
    <t>vinosa</t>
  </si>
  <si>
    <t>Cordulegastridae</t>
  </si>
  <si>
    <t>cordlegaster</t>
  </si>
  <si>
    <t>maculata</t>
  </si>
  <si>
    <t>Corduliidae</t>
  </si>
  <si>
    <t>Epitheca</t>
  </si>
  <si>
    <t>cynosura</t>
  </si>
  <si>
    <t>semiaquae</t>
  </si>
  <si>
    <t>Neurocordulia</t>
  </si>
  <si>
    <t>molesta</t>
  </si>
  <si>
    <t>Gomphidae</t>
  </si>
  <si>
    <t>Dromogomphus</t>
  </si>
  <si>
    <t>Gomphus</t>
  </si>
  <si>
    <t>Lanthus</t>
  </si>
  <si>
    <t>vernalis</t>
  </si>
  <si>
    <t>Progomphus</t>
  </si>
  <si>
    <t>obscurus</t>
  </si>
  <si>
    <t>Libellulidae</t>
  </si>
  <si>
    <t>Celithemis</t>
  </si>
  <si>
    <t>fasciata</t>
  </si>
  <si>
    <t xml:space="preserve">Erythemis </t>
  </si>
  <si>
    <t>simplicicollis</t>
  </si>
  <si>
    <t>Libellula</t>
  </si>
  <si>
    <t>Ladona</t>
  </si>
  <si>
    <t>deplanata</t>
  </si>
  <si>
    <t>MB</t>
  </si>
  <si>
    <t>ME</t>
  </si>
  <si>
    <t>ID</t>
  </si>
  <si>
    <t xml:space="preserve">Giberson and Galloway </t>
  </si>
  <si>
    <t>mcculough et al 1979a</t>
  </si>
  <si>
    <t>scb</t>
  </si>
  <si>
    <t xml:space="preserve">Plathemis </t>
  </si>
  <si>
    <t>lydia</t>
  </si>
  <si>
    <t>Plecoptera</t>
  </si>
  <si>
    <t>Capniidae</t>
  </si>
  <si>
    <t>Allocapnia</t>
  </si>
  <si>
    <t>Chloroperlidae</t>
  </si>
  <si>
    <t>Sweltsa</t>
  </si>
  <si>
    <t>Leuctra</t>
  </si>
  <si>
    <t>Nemouridae</t>
  </si>
  <si>
    <t>Amphinemura</t>
  </si>
  <si>
    <t>wui</t>
  </si>
  <si>
    <t>Prostoia</t>
  </si>
  <si>
    <t>completa</t>
  </si>
  <si>
    <t>Peltoperlidae</t>
  </si>
  <si>
    <t>Tallaperla</t>
  </si>
  <si>
    <t>maria</t>
  </si>
  <si>
    <t>Perlidae</t>
  </si>
  <si>
    <t>Acroneuria</t>
  </si>
  <si>
    <t>abnomis</t>
  </si>
  <si>
    <t>lycorias</t>
  </si>
  <si>
    <t>agnetina</t>
  </si>
  <si>
    <t>capitata</t>
  </si>
  <si>
    <t>Beloneuria</t>
  </si>
  <si>
    <t>georgiana</t>
  </si>
  <si>
    <t>Eccoptura</t>
  </si>
  <si>
    <t>xanthenes</t>
  </si>
  <si>
    <t>Neoperla</t>
  </si>
  <si>
    <t>clymene</t>
  </si>
  <si>
    <t>Paragnetina</t>
  </si>
  <si>
    <t>kansensis</t>
  </si>
  <si>
    <t>Perlesta</t>
  </si>
  <si>
    <t>placida</t>
  </si>
  <si>
    <t>Perlinella</t>
  </si>
  <si>
    <t>drymo</t>
  </si>
  <si>
    <t>Perlodidae</t>
  </si>
  <si>
    <t>Clioperla</t>
  </si>
  <si>
    <t>clio</t>
  </si>
  <si>
    <t>Leuctridae</t>
  </si>
  <si>
    <t>STOUT ET AL 1993</t>
  </si>
  <si>
    <t>EGGERT AND BURTON 1994</t>
  </si>
  <si>
    <t>SMOCK 1980</t>
  </si>
  <si>
    <t>Isogenus</t>
  </si>
  <si>
    <t>Isoperla</t>
  </si>
  <si>
    <t>bilineata</t>
  </si>
  <si>
    <t>isoperla</t>
  </si>
  <si>
    <t>Kogutus</t>
  </si>
  <si>
    <t>nonus</t>
  </si>
  <si>
    <t>thorax</t>
  </si>
  <si>
    <t>Malirekus</t>
  </si>
  <si>
    <t>hastatus</t>
  </si>
  <si>
    <t>Pteronarcyidae</t>
  </si>
  <si>
    <t>dorsata</t>
  </si>
  <si>
    <t>Pteronarcys</t>
  </si>
  <si>
    <t>Scotti</t>
  </si>
  <si>
    <t>Taeniopterygidae</t>
  </si>
  <si>
    <t>Strophopteryx</t>
  </si>
  <si>
    <t>limata</t>
  </si>
  <si>
    <t>lita</t>
  </si>
  <si>
    <t>Taeniopteryx</t>
  </si>
  <si>
    <t>Hemiptera</t>
  </si>
  <si>
    <t>Corixidae</t>
  </si>
  <si>
    <t>Sigara</t>
  </si>
  <si>
    <t>Gerris</t>
  </si>
  <si>
    <t>remigis</t>
  </si>
  <si>
    <t>Gerridae</t>
  </si>
  <si>
    <t>Veliidae</t>
  </si>
  <si>
    <t>Metrobates</t>
  </si>
  <si>
    <t>hesperius</t>
  </si>
  <si>
    <t>Rhagovelia</t>
  </si>
  <si>
    <t>obesa</t>
  </si>
  <si>
    <t>Megaloptera</t>
  </si>
  <si>
    <t>Corydalidae</t>
  </si>
  <si>
    <t>Corydalus</t>
  </si>
  <si>
    <t>Cornutus</t>
  </si>
  <si>
    <t>Nigronia</t>
  </si>
  <si>
    <t>serricornis</t>
  </si>
  <si>
    <t>Sialidae</t>
  </si>
  <si>
    <t>Sialis</t>
  </si>
  <si>
    <t>aequalis</t>
  </si>
  <si>
    <t>Trichoptera</t>
  </si>
  <si>
    <t>Brachycentridae</t>
  </si>
  <si>
    <t>Primary Source</t>
  </si>
  <si>
    <t>Secondary Source</t>
  </si>
  <si>
    <t>Benke et al 1999</t>
  </si>
  <si>
    <t>Brachycentrus</t>
  </si>
  <si>
    <t>etowahensis</t>
  </si>
  <si>
    <t>Micrasema</t>
  </si>
  <si>
    <t>Glossosomatidae</t>
  </si>
  <si>
    <t>Glossosoma</t>
  </si>
  <si>
    <t>nigrior</t>
  </si>
  <si>
    <t>Helicopsychidae</t>
  </si>
  <si>
    <t>Helicopsyche</t>
  </si>
  <si>
    <t>Hydrophyschidae</t>
  </si>
  <si>
    <t>Cheumatopsyche</t>
  </si>
  <si>
    <t>Hydropsyche</t>
  </si>
  <si>
    <t>elissoma</t>
  </si>
  <si>
    <t>Macrostemum</t>
  </si>
  <si>
    <t>incommoda</t>
  </si>
  <si>
    <t>occidentalis</t>
  </si>
  <si>
    <t>sparna</t>
  </si>
  <si>
    <t>Lepidostomatidae</t>
  </si>
  <si>
    <t>Lepidostoma</t>
  </si>
  <si>
    <t>Leptoceridae</t>
  </si>
  <si>
    <t>Oecetis</t>
  </si>
  <si>
    <t>Limnephilidae</t>
  </si>
  <si>
    <t>Ironoquia</t>
  </si>
  <si>
    <t>parvula</t>
  </si>
  <si>
    <t>Limnephilus</t>
  </si>
  <si>
    <t>Pycnopsyche</t>
  </si>
  <si>
    <t>luculenta</t>
  </si>
  <si>
    <t>scabripennis</t>
  </si>
  <si>
    <t>Odontoceridae</t>
  </si>
  <si>
    <t>Psilotreta</t>
  </si>
  <si>
    <t>Philopotamidae</t>
  </si>
  <si>
    <t>Chimarra</t>
  </si>
  <si>
    <t>Case width</t>
  </si>
  <si>
    <t>AB</t>
  </si>
  <si>
    <t>WALDE AND DAVIES 1987</t>
  </si>
  <si>
    <t>Jin 1995</t>
  </si>
  <si>
    <t>McCullough et al 1979b</t>
  </si>
  <si>
    <t>Phryganeidae</t>
  </si>
  <si>
    <t>Ptilostomis</t>
  </si>
  <si>
    <t>Polycentropodidae</t>
  </si>
  <si>
    <t>Neureclipsis</t>
  </si>
  <si>
    <t>Polycentropus</t>
  </si>
  <si>
    <t>Psychomyiidae</t>
  </si>
  <si>
    <t>Lype</t>
  </si>
  <si>
    <t>diversa</t>
  </si>
  <si>
    <t>Rhyacophilidae</t>
  </si>
  <si>
    <t>Rhyacophila</t>
  </si>
  <si>
    <t>Sericostomatidae</t>
  </si>
  <si>
    <t>Agarodes</t>
  </si>
  <si>
    <t>libalis</t>
  </si>
  <si>
    <t>Lepidoptera</t>
  </si>
  <si>
    <t>Pyralidae</t>
  </si>
  <si>
    <t>Petrophila</t>
  </si>
  <si>
    <t>Coleoptera</t>
  </si>
  <si>
    <t>Chrysomelidae</t>
  </si>
  <si>
    <t>nymphaaeae</t>
  </si>
  <si>
    <t>Dytiscidae</t>
  </si>
  <si>
    <t>Hydroporus</t>
  </si>
  <si>
    <t>Elmidae</t>
  </si>
  <si>
    <t>Ancyronyx</t>
  </si>
  <si>
    <t>variegata</t>
  </si>
  <si>
    <t>glabratus</t>
  </si>
  <si>
    <t>Macronychus</t>
  </si>
  <si>
    <t>Optioservus</t>
  </si>
  <si>
    <t>Promoresia</t>
  </si>
  <si>
    <t>Stenelmis</t>
  </si>
  <si>
    <t>Gyrinidae</t>
  </si>
  <si>
    <t>Dineutes</t>
  </si>
  <si>
    <t>Haliplidae</t>
  </si>
  <si>
    <t>Peltodytes</t>
  </si>
  <si>
    <t>sexmaculatus</t>
  </si>
  <si>
    <t>Psephenidae</t>
  </si>
  <si>
    <t>Ectopria</t>
  </si>
  <si>
    <t>Psephenus</t>
  </si>
  <si>
    <t>Ptilodactylidae</t>
  </si>
  <si>
    <t>Galerucella</t>
  </si>
  <si>
    <t>Secondary Location</t>
  </si>
  <si>
    <t>Appendix 1</t>
  </si>
  <si>
    <t>Anchytarsus</t>
  </si>
  <si>
    <t>bicolor</t>
  </si>
  <si>
    <t>Diptera</t>
  </si>
  <si>
    <t>Athericidae</t>
  </si>
  <si>
    <t>Atherix</t>
  </si>
  <si>
    <t>Blephariceridae</t>
  </si>
  <si>
    <t>Blepharicera</t>
  </si>
  <si>
    <t>Ceratopogonidae</t>
  </si>
  <si>
    <t>Palpomyia</t>
  </si>
  <si>
    <t>Chironomidae</t>
  </si>
  <si>
    <t>Chironominae</t>
  </si>
  <si>
    <t>Subfamily</t>
  </si>
  <si>
    <t>Chironominae/Orthocladiinae</t>
  </si>
  <si>
    <t>Chironomini</t>
  </si>
  <si>
    <t>Chironomus</t>
  </si>
  <si>
    <t>decorus</t>
  </si>
  <si>
    <t>Cladopelma</t>
  </si>
  <si>
    <t>Dicrotendipes</t>
  </si>
  <si>
    <t>Polypedilum</t>
  </si>
  <si>
    <t>Tanytarsini</t>
  </si>
  <si>
    <t>Tanytarsus</t>
  </si>
  <si>
    <t>Orthocladiinae</t>
  </si>
  <si>
    <t>Tanypodinae</t>
  </si>
  <si>
    <t>Ablabesmyia</t>
  </si>
  <si>
    <t>Procladius</t>
  </si>
  <si>
    <t>bellus</t>
  </si>
  <si>
    <t>Empididae</t>
  </si>
  <si>
    <t>Sciaridae</t>
  </si>
  <si>
    <t>Simuliidae</t>
  </si>
  <si>
    <t>Prosimulium</t>
  </si>
  <si>
    <t>mixtum/fuscum</t>
  </si>
  <si>
    <t>Simulium</t>
  </si>
  <si>
    <t>decorum</t>
  </si>
  <si>
    <t>tuberosum</t>
  </si>
  <si>
    <t>venustum</t>
  </si>
  <si>
    <t>verecundum</t>
  </si>
  <si>
    <t>Stegopterna</t>
  </si>
  <si>
    <t>mutata</t>
  </si>
  <si>
    <t>Tabanidae</t>
  </si>
  <si>
    <t>Chrysops/Tabanus</t>
  </si>
  <si>
    <t>Tipulidae</t>
  </si>
  <si>
    <t>Dicranota</t>
  </si>
  <si>
    <t>Hexatoma</t>
  </si>
  <si>
    <t>Lipsothrix</t>
  </si>
  <si>
    <t>Molophilus</t>
  </si>
  <si>
    <t>Pedicia</t>
  </si>
  <si>
    <t>Pilaria</t>
  </si>
  <si>
    <t>Tipula</t>
  </si>
  <si>
    <t>abdominalis</t>
  </si>
  <si>
    <t>MAIER ET AL 1980</t>
  </si>
  <si>
    <t>SEPHTON AND PATERSON 1986</t>
  </si>
  <si>
    <t>MERRITT ET AL 1982</t>
  </si>
  <si>
    <t>MORIN ET AL 1988</t>
  </si>
  <si>
    <t>EDWARDS AND MEYER 1987</t>
  </si>
  <si>
    <t>Johnston and Cunjak 1999</t>
  </si>
  <si>
    <t>Acentrella</t>
  </si>
  <si>
    <t>Dolophilodes</t>
  </si>
  <si>
    <t>non-Tanypodinae</t>
  </si>
  <si>
    <t>NB</t>
  </si>
  <si>
    <t>Macropelopiini</t>
  </si>
  <si>
    <t>Metriocnemus</t>
  </si>
  <si>
    <t>Cricotopus</t>
  </si>
  <si>
    <t>Paucispinigera</t>
  </si>
  <si>
    <t>Xanthocnemis</t>
  </si>
  <si>
    <t>Procordulia</t>
  </si>
  <si>
    <t>Triplectedes</t>
  </si>
  <si>
    <t>Paroxyethira</t>
  </si>
  <si>
    <t>Bivalvia</t>
  </si>
  <si>
    <t>Hyridella</t>
  </si>
  <si>
    <t>Sphaerium</t>
  </si>
  <si>
    <t>Gastropoda</t>
  </si>
  <si>
    <t>Potamopyrgus</t>
  </si>
  <si>
    <t>Oligochaeta</t>
  </si>
  <si>
    <t>10%Formalin, lake samples</t>
  </si>
  <si>
    <t>NZ</t>
  </si>
  <si>
    <t>Stoffels et al. 2003</t>
  </si>
  <si>
    <t>Sphaeriidae</t>
  </si>
  <si>
    <t>punctisetae</t>
  </si>
  <si>
    <t>quadriloba</t>
  </si>
  <si>
    <t>Uracanthella</t>
  </si>
  <si>
    <t xml:space="preserve">Glossosoma </t>
  </si>
  <si>
    <t>ussuricum</t>
  </si>
  <si>
    <t>altaicum</t>
  </si>
  <si>
    <t>Goeridae</t>
  </si>
  <si>
    <t>Goera</t>
  </si>
  <si>
    <t>japonica</t>
  </si>
  <si>
    <t>JP</t>
  </si>
  <si>
    <t>Miyasaka et al 2008</t>
  </si>
  <si>
    <t>Lake</t>
  </si>
  <si>
    <t>Stream</t>
  </si>
  <si>
    <t>Ecosystem</t>
  </si>
  <si>
    <t>Phylloicus</t>
  </si>
  <si>
    <t>Calamoceratidae</t>
  </si>
  <si>
    <t>BR</t>
  </si>
  <si>
    <t>Becker et al 2009</t>
  </si>
  <si>
    <t>5%Formalin</t>
  </si>
  <si>
    <t>Oyamia</t>
  </si>
  <si>
    <t>lugubris</t>
  </si>
  <si>
    <t>tinctipennis</t>
  </si>
  <si>
    <t>Kamimuria</t>
  </si>
  <si>
    <t>tibialis</t>
  </si>
  <si>
    <t>uenoi</t>
  </si>
  <si>
    <t>Genkai-Kato and Miyasaka 2007</t>
  </si>
  <si>
    <t>grammatica</t>
  </si>
  <si>
    <t>cinerea</t>
  </si>
  <si>
    <t>Nemoura</t>
  </si>
  <si>
    <t>Rhithrogena</t>
  </si>
  <si>
    <t>semicolorata</t>
  </si>
  <si>
    <t>Ecdyonurus</t>
  </si>
  <si>
    <t>helveticus</t>
  </si>
  <si>
    <t>submarginata</t>
  </si>
  <si>
    <t>fusca</t>
  </si>
  <si>
    <t>IT</t>
  </si>
  <si>
    <t>Giustini et al 2008</t>
  </si>
  <si>
    <t>Stage</t>
  </si>
  <si>
    <t>Austroperlidae</t>
  </si>
  <si>
    <t>Gripopterygidae</t>
  </si>
  <si>
    <t>Siphlonuridae</t>
  </si>
  <si>
    <t>Ameletopsidae</t>
  </si>
  <si>
    <t>Hydropsychidae</t>
  </si>
  <si>
    <t>Hydrobiosidae</t>
  </si>
  <si>
    <t>Muscidae</t>
  </si>
  <si>
    <t>COLEOPTERA</t>
  </si>
  <si>
    <t>Hidrophilidae</t>
  </si>
  <si>
    <t>Aeglidae</t>
  </si>
  <si>
    <t>AMPHIPODA</t>
  </si>
  <si>
    <t>Hyalellidae</t>
  </si>
  <si>
    <t>ANNELIDA</t>
  </si>
  <si>
    <t>Tubificidae</t>
  </si>
  <si>
    <t>Chilinidae</t>
  </si>
  <si>
    <t>Klapopteryx</t>
  </si>
  <si>
    <t>kuscheli</t>
  </si>
  <si>
    <t>Pictetoperla</t>
  </si>
  <si>
    <t>gayi</t>
  </si>
  <si>
    <t>Kempnyela</t>
  </si>
  <si>
    <t>genualis</t>
  </si>
  <si>
    <t>Notoperla</t>
  </si>
  <si>
    <t>archiplatae</t>
  </si>
  <si>
    <t>Notoperlopsis</t>
  </si>
  <si>
    <t>femina</t>
  </si>
  <si>
    <t>Antarctoperla</t>
  </si>
  <si>
    <t>michaelseni</t>
  </si>
  <si>
    <t>Limnoperla</t>
  </si>
  <si>
    <t>jaffueli</t>
  </si>
  <si>
    <t>Aubertoperla</t>
  </si>
  <si>
    <t>illiesi</t>
  </si>
  <si>
    <t>Potamoperla</t>
  </si>
  <si>
    <t>myrmidon</t>
  </si>
  <si>
    <t>Senzilloides</t>
  </si>
  <si>
    <t>panguipulli</t>
  </si>
  <si>
    <t>Penaphlebia</t>
  </si>
  <si>
    <t>chilensis</t>
  </si>
  <si>
    <t>Meridialaris</t>
  </si>
  <si>
    <t>Nousia</t>
  </si>
  <si>
    <t>bella</t>
  </si>
  <si>
    <t>Metamonius</t>
  </si>
  <si>
    <t>Chiloporter</t>
  </si>
  <si>
    <t>eatoni</t>
  </si>
  <si>
    <t>Parasericostoma</t>
  </si>
  <si>
    <t>ovale</t>
  </si>
  <si>
    <t>Smicridea</t>
  </si>
  <si>
    <t>Neoatopsyche</t>
  </si>
  <si>
    <t>Cailloma</t>
  </si>
  <si>
    <t>Rheochorema</t>
  </si>
  <si>
    <t>Paratrichocladius</t>
  </si>
  <si>
    <t>Lispoides</t>
  </si>
  <si>
    <t>Dasyoma</t>
  </si>
  <si>
    <t>Edwardsina</t>
  </si>
  <si>
    <t>Austrelmis</t>
  </si>
  <si>
    <t>Tropisternus</t>
  </si>
  <si>
    <t>setiger</t>
  </si>
  <si>
    <t>Aeshna</t>
  </si>
  <si>
    <t>Aegla</t>
  </si>
  <si>
    <t>Hyalella</t>
  </si>
  <si>
    <t>curvispina</t>
  </si>
  <si>
    <t>Lumbriculidae</t>
  </si>
  <si>
    <t>Limnodrilus</t>
  </si>
  <si>
    <t>Chilina</t>
  </si>
  <si>
    <t>patagonica</t>
  </si>
  <si>
    <t>Girardia</t>
  </si>
  <si>
    <t>Aeshenidae</t>
  </si>
  <si>
    <t>neuquensis</t>
  </si>
  <si>
    <t>Clitellata</t>
  </si>
  <si>
    <t>Haplotaxida</t>
  </si>
  <si>
    <t>Tricladida</t>
  </si>
  <si>
    <t>Dugesiidae</t>
  </si>
  <si>
    <t>4% formalin then 70% ethanol</t>
  </si>
  <si>
    <t>AR, Patagonia</t>
  </si>
  <si>
    <t>Streams</t>
  </si>
  <si>
    <t>Miserendino 2001</t>
  </si>
  <si>
    <t>sylvicola</t>
  </si>
  <si>
    <t>Protonemura</t>
  </si>
  <si>
    <t>Perla</t>
  </si>
  <si>
    <t>grandis</t>
  </si>
  <si>
    <t>Chloroperla</t>
  </si>
  <si>
    <t>Hydraena</t>
  </si>
  <si>
    <t>Elmis</t>
  </si>
  <si>
    <t>Limnius</t>
  </si>
  <si>
    <t>adults</t>
  </si>
  <si>
    <t>larvae</t>
  </si>
  <si>
    <t>Liponeura</t>
  </si>
  <si>
    <t>fossarum</t>
  </si>
  <si>
    <t>Hydraenidae</t>
  </si>
  <si>
    <t>Pediciidae</t>
  </si>
  <si>
    <t>Limoniidae</t>
  </si>
  <si>
    <t>Pupae</t>
  </si>
  <si>
    <t>other</t>
  </si>
  <si>
    <t>Location</t>
  </si>
  <si>
    <t>CH</t>
  </si>
  <si>
    <t>Burgherr and Meyer 1997</t>
  </si>
  <si>
    <t>Lymnaea</t>
  </si>
  <si>
    <t>palustris</t>
  </si>
  <si>
    <t>Physa</t>
  </si>
  <si>
    <t>integra</t>
  </si>
  <si>
    <t>Gyraulus</t>
  </si>
  <si>
    <t>parvus</t>
  </si>
  <si>
    <t>paludosa</t>
  </si>
  <si>
    <t>cubensis</t>
  </si>
  <si>
    <t>duryi</t>
  </si>
  <si>
    <t>Haitia</t>
  </si>
  <si>
    <t>Physidae</t>
  </si>
  <si>
    <t>Pomacea</t>
  </si>
  <si>
    <t>Planorbella</t>
  </si>
  <si>
    <t>Planorbidae</t>
  </si>
  <si>
    <t>Ampullariidae</t>
  </si>
  <si>
    <t>FL</t>
  </si>
  <si>
    <t>Wetlands</t>
  </si>
  <si>
    <t>Obaza and Ruehl 2013</t>
  </si>
  <si>
    <t>shell length used for body measure</t>
  </si>
  <si>
    <t>Eckblad 1971</t>
  </si>
  <si>
    <t>Lymnaeinae</t>
  </si>
  <si>
    <t>Lymnaeidaea</t>
  </si>
  <si>
    <t>Physinae</t>
  </si>
  <si>
    <t>Planorbinae</t>
  </si>
  <si>
    <t>Basommatophora</t>
  </si>
  <si>
    <t>Hygrophila</t>
  </si>
  <si>
    <t>Architaenioglossa</t>
  </si>
  <si>
    <t>Cladocera</t>
  </si>
  <si>
    <t>Daphnia</t>
  </si>
  <si>
    <t>25-50</t>
  </si>
  <si>
    <t>retrocurca</t>
  </si>
  <si>
    <t>longispina</t>
  </si>
  <si>
    <t>galeata</t>
  </si>
  <si>
    <t>hyalina</t>
  </si>
  <si>
    <t>ambigua</t>
  </si>
  <si>
    <t>pulex</t>
  </si>
  <si>
    <t>schodleri</t>
  </si>
  <si>
    <t>magna</t>
  </si>
  <si>
    <t>Ceriodaphnia</t>
  </si>
  <si>
    <t>quadrangula</t>
  </si>
  <si>
    <t>reticulata</t>
  </si>
  <si>
    <t>Holopedium</t>
  </si>
  <si>
    <t>gibberum</t>
  </si>
  <si>
    <t>Diaphanosoma</t>
  </si>
  <si>
    <t>brachyrum</t>
  </si>
  <si>
    <t>Bosmina</t>
  </si>
  <si>
    <t>longirostris</t>
  </si>
  <si>
    <t>obtusirostris</t>
  </si>
  <si>
    <t>coregoni</t>
  </si>
  <si>
    <t>Chydorus</t>
  </si>
  <si>
    <t>sphaericus</t>
  </si>
  <si>
    <t>Leptodora</t>
  </si>
  <si>
    <t>kindtii</t>
  </si>
  <si>
    <t>Polyphemus</t>
  </si>
  <si>
    <t>pediculus</t>
  </si>
  <si>
    <t>Sida</t>
  </si>
  <si>
    <t>crystallina</t>
  </si>
  <si>
    <t>Scapholeberis</t>
  </si>
  <si>
    <t>kingi</t>
  </si>
  <si>
    <t>Ilyocriptus</t>
  </si>
  <si>
    <t>sordidus</t>
  </si>
  <si>
    <t>Disparalona</t>
  </si>
  <si>
    <t>rostrata</t>
  </si>
  <si>
    <t>Copepoda</t>
  </si>
  <si>
    <t>Copepod</t>
  </si>
  <si>
    <t>nauplii</t>
  </si>
  <si>
    <t>pallidus</t>
  </si>
  <si>
    <t>Diaptomus</t>
  </si>
  <si>
    <t>siciloides</t>
  </si>
  <si>
    <t>gracilis</t>
  </si>
  <si>
    <t>Cyclops</t>
  </si>
  <si>
    <t>scutifer</t>
  </si>
  <si>
    <t>viridis</t>
  </si>
  <si>
    <t>vicinus</t>
  </si>
  <si>
    <t>strenuus</t>
  </si>
  <si>
    <t>abyssorum</t>
  </si>
  <si>
    <t>Mesocyclops</t>
  </si>
  <si>
    <t>edax</t>
  </si>
  <si>
    <t>leuckarti</t>
  </si>
  <si>
    <t>Heterocope</t>
  </si>
  <si>
    <t>appendiculata</t>
  </si>
  <si>
    <t>saliens</t>
  </si>
  <si>
    <t>Eudiaptomus</t>
  </si>
  <si>
    <t>graciloides</t>
  </si>
  <si>
    <t>Thermocyclops</t>
  </si>
  <si>
    <t>hyalinus</t>
  </si>
  <si>
    <t>Arctodiaptomus</t>
  </si>
  <si>
    <t>spinosus</t>
  </si>
  <si>
    <t>Pace and Orcutt 1981</t>
  </si>
  <si>
    <t>Rosen 1981</t>
  </si>
  <si>
    <t>Bottrell et al. 1976</t>
  </si>
  <si>
    <t>Persson and Ekbohm 1980</t>
  </si>
  <si>
    <t>O'Brien and deNoyelles 1974</t>
  </si>
  <si>
    <t>Burns 1969</t>
  </si>
  <si>
    <t>Dumont et al 1975</t>
  </si>
  <si>
    <t>Jacobsen and Comita 1976</t>
  </si>
  <si>
    <t>Burgis 1974</t>
  </si>
  <si>
    <t>McCauley 1984</t>
  </si>
  <si>
    <t>Table 7.2</t>
  </si>
  <si>
    <t>Branchiopoda</t>
  </si>
  <si>
    <t>Maxillopoda</t>
  </si>
  <si>
    <t>total length not including caudal setae</t>
  </si>
  <si>
    <t>from eye to the point of insertion of the setae</t>
  </si>
  <si>
    <t>distance between the setae notores and the terminal claw of the post-abdomen</t>
  </si>
  <si>
    <t>do not include furcal rami</t>
  </si>
  <si>
    <t>total length not including caudal setae; ephippial</t>
  </si>
  <si>
    <t>total length not including caudal setae; + eggs</t>
  </si>
  <si>
    <t>total length not including caudal setae; nauplii - adult</t>
  </si>
  <si>
    <t>do not include furcal rami; copepodites - adults</t>
  </si>
  <si>
    <t>total length not including caudal setae; nauplii 1-6</t>
  </si>
  <si>
    <t>total length not including caudal setae, nauplii 1 - adult</t>
  </si>
  <si>
    <t>do not include furcal rami; adult</t>
  </si>
  <si>
    <t>total length not including caudal setae;  copepodites -adult</t>
  </si>
  <si>
    <t xml:space="preserve">do not include furcal rami; nauplii -  copepodites </t>
  </si>
  <si>
    <t>do not include furcal rami; nauplii -  female adults</t>
  </si>
  <si>
    <t>do not include furcal rami; female adult</t>
  </si>
  <si>
    <t>total length not including caudal setae; copepodites 2 - adult</t>
  </si>
  <si>
    <t>do not include furcal rami; copepodites - adult</t>
  </si>
  <si>
    <t>total length not including caudal setae; nauplii 1 -6</t>
  </si>
  <si>
    <t xml:space="preserve">total length not including caudal setae; copepodites 1 - adult </t>
  </si>
  <si>
    <t>total length not including caudal setae; nauplii 1 - adult</t>
  </si>
  <si>
    <t>do not include furcal rami; copepodites  - adults</t>
  </si>
  <si>
    <t xml:space="preserve">only thoracal segments measured; ccopepodites </t>
  </si>
  <si>
    <t>only thoracal segments measured; male adult</t>
  </si>
  <si>
    <t>only thoracal segments measured; female adult</t>
  </si>
  <si>
    <t>only thoracal segments measured; copepodites -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</si>
</sst>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/>
    <xf numFmtId="166" fontId="1" fillId="0" borderId="0" xfId="0" applyNumberFormat="1" applyFont="1" applyFill="1" applyBorder="1"/>
    <xf numFmtId="165" fontId="1" fillId="0" borderId="0" xfId="0" applyNumberFormat="1" applyFont="1" applyFill="1" applyBorder="1"/>
    <xf numFmtId="2" fontId="1" fillId="0" borderId="0" xfId="0" applyNumberFormat="1" applyFont="1" applyFill="1" applyBorder="1"/>
    <xf numFmtId="1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1" fillId="0" borderId="0" xfId="0" quotePrefix="1" applyNumberFormat="1" applyFont="1" applyFill="1" applyBorder="1"/>
    <xf numFmtId="0" fontId="1" fillId="0" borderId="0" xfId="0" quotePrefix="1" applyFont="1" applyFill="1" applyBorder="1"/>
    <xf numFmtId="164" fontId="1" fillId="0" borderId="0" xfId="0" quotePrefix="1" applyNumberFormat="1" applyFont="1" applyFill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0" fillId="0" borderId="0" xfId="0" applyFill="1" applyBorder="1"/>
    <xf numFmtId="0" fontId="0" fillId="0" borderId="0" xfId="0" applyNumberFormat="1"/>
    <xf numFmtId="0" fontId="0" fillId="0" borderId="0" xfId="0" applyFont="1"/>
    <xf numFmtId="2" fontId="1" fillId="0" borderId="0" xfId="0" applyNumberFormat="1" applyFont="1" applyFill="1" applyBorder="1" applyAlignment="1">
      <alignment vertical="center"/>
    </xf>
    <xf numFmtId="2" fontId="0" fillId="0" borderId="0" xfId="0" applyNumberFormat="1"/>
    <xf numFmtId="2" fontId="0" fillId="0" borderId="0" xfId="0" applyNumberFormat="1" applyFont="1"/>
    <xf numFmtId="0" fontId="1" fillId="0" borderId="0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5"/>
  <sheetViews>
    <sheetView tabSelected="1" zoomScale="70" zoomScaleNormal="70" workbookViewId="0">
      <pane xSplit="8" ySplit="1" topLeftCell="I431" activePane="bottomRight" state="frozen"/>
      <selection pane="topRight" activeCell="G1" sqref="G1"/>
      <selection pane="bottomLeft" activeCell="A2" sqref="A2"/>
      <selection pane="bottomRight" activeCell="B468" sqref="B468"/>
    </sheetView>
  </sheetViews>
  <sheetFormatPr defaultColWidth="8.90625" defaultRowHeight="14" x14ac:dyDescent="0.3"/>
  <cols>
    <col min="1" max="2" width="7.7265625" style="1" customWidth="1"/>
    <col min="3" max="3" width="7.90625" style="1" customWidth="1"/>
    <col min="4" max="4" width="13.6328125" style="1" customWidth="1"/>
    <col min="5" max="5" width="9.36328125" style="1" customWidth="1"/>
    <col min="6" max="6" width="10.08984375" style="1" customWidth="1"/>
    <col min="7" max="7" width="7.453125" style="1" customWidth="1"/>
    <col min="8" max="8" width="7.08984375" style="1" customWidth="1"/>
    <col min="9" max="9" width="6.6328125" style="1" customWidth="1"/>
    <col min="10" max="10" width="6" style="1" customWidth="1"/>
    <col min="11" max="11" width="10.36328125" style="1" customWidth="1"/>
    <col min="12" max="12" width="27" style="1" customWidth="1"/>
    <col min="13" max="13" width="11.81640625" style="1" bestFit="1" customWidth="1"/>
    <col min="14" max="16" width="7.36328125" style="1" bestFit="1" customWidth="1"/>
    <col min="17" max="17" width="6.36328125" style="4" bestFit="1" customWidth="1"/>
    <col min="18" max="18" width="5.81640625" style="1" bestFit="1" customWidth="1"/>
    <col min="19" max="19" width="16.81640625" style="1" bestFit="1" customWidth="1"/>
    <col min="20" max="20" width="16.6328125" style="1" bestFit="1" customWidth="1"/>
    <col min="21" max="21" width="7.36328125" style="1" bestFit="1" customWidth="1"/>
    <col min="22" max="22" width="9.81640625" style="1" bestFit="1" customWidth="1"/>
    <col min="23" max="23" width="12.26953125" style="1" bestFit="1" customWidth="1"/>
    <col min="24" max="24" width="9.453125" style="1" bestFit="1" customWidth="1"/>
    <col min="25" max="25" width="30.453125" style="1" bestFit="1" customWidth="1"/>
    <col min="26" max="26" width="15.36328125" style="1" bestFit="1" customWidth="1"/>
    <col min="27" max="27" width="16.7265625" style="1" bestFit="1" customWidth="1"/>
    <col min="28" max="16384" width="8.90625" style="1"/>
  </cols>
  <sheetData>
    <row r="1" spans="1:27" x14ac:dyDescent="0.3">
      <c r="A1" s="1" t="s">
        <v>0</v>
      </c>
      <c r="B1" s="1" t="s">
        <v>1</v>
      </c>
      <c r="C1" s="1" t="s">
        <v>169</v>
      </c>
      <c r="D1" s="1" t="s">
        <v>2</v>
      </c>
      <c r="E1" s="1" t="s">
        <v>373</v>
      </c>
      <c r="F1" s="1" t="s">
        <v>3</v>
      </c>
      <c r="G1" s="1" t="s">
        <v>4</v>
      </c>
      <c r="H1" s="1" t="s">
        <v>41</v>
      </c>
      <c r="I1" s="1" t="s">
        <v>39</v>
      </c>
      <c r="J1" s="1" t="s">
        <v>476</v>
      </c>
      <c r="K1" s="1" t="s">
        <v>35</v>
      </c>
      <c r="L1" s="1" t="s">
        <v>40</v>
      </c>
      <c r="M1" s="1" t="s">
        <v>46</v>
      </c>
      <c r="N1" s="1" t="s">
        <v>47</v>
      </c>
      <c r="O1" s="1" t="s">
        <v>7</v>
      </c>
      <c r="P1" s="1" t="s">
        <v>48</v>
      </c>
      <c r="Q1" s="4" t="s">
        <v>89</v>
      </c>
      <c r="R1" s="1" t="s">
        <v>8</v>
      </c>
      <c r="S1" s="2" t="s">
        <v>137</v>
      </c>
      <c r="T1" s="2" t="s">
        <v>50</v>
      </c>
      <c r="U1" s="1" t="s">
        <v>49</v>
      </c>
      <c r="V1" s="1" t="s">
        <v>51</v>
      </c>
      <c r="W1" s="1" t="s">
        <v>569</v>
      </c>
      <c r="X1" s="1" t="s">
        <v>452</v>
      </c>
      <c r="Y1" s="1" t="s">
        <v>282</v>
      </c>
      <c r="Z1" s="1" t="s">
        <v>283</v>
      </c>
      <c r="AA1" s="1" t="s">
        <v>360</v>
      </c>
    </row>
    <row r="2" spans="1:27" x14ac:dyDescent="0.3">
      <c r="A2" s="1" t="s">
        <v>33</v>
      </c>
      <c r="B2" s="1" t="s">
        <v>60</v>
      </c>
      <c r="D2" s="1" t="s">
        <v>61</v>
      </c>
      <c r="F2" s="1" t="s">
        <v>64</v>
      </c>
      <c r="G2" s="1" t="s">
        <v>65</v>
      </c>
      <c r="K2" s="1" t="s">
        <v>37</v>
      </c>
      <c r="M2" s="3">
        <v>5.7999999999999996E-3</v>
      </c>
      <c r="N2" s="3">
        <v>1.6999999999999999E-3</v>
      </c>
      <c r="O2" s="3">
        <v>2.798</v>
      </c>
      <c r="P2" s="3">
        <v>0.14199999999999999</v>
      </c>
      <c r="Q2" s="4">
        <v>0.85</v>
      </c>
      <c r="R2" s="5">
        <v>25</v>
      </c>
      <c r="S2" s="2">
        <v>2</v>
      </c>
      <c r="T2" s="2">
        <v>9</v>
      </c>
      <c r="U2" s="6"/>
      <c r="V2" s="6"/>
      <c r="W2" s="6" t="s">
        <v>14</v>
      </c>
      <c r="X2" s="1" t="s">
        <v>451</v>
      </c>
      <c r="Y2" s="1" t="s">
        <v>15</v>
      </c>
      <c r="Z2" s="1" t="s">
        <v>284</v>
      </c>
      <c r="AA2" s="6" t="s">
        <v>361</v>
      </c>
    </row>
    <row r="3" spans="1:27" x14ac:dyDescent="0.3">
      <c r="A3" s="1" t="s">
        <v>33</v>
      </c>
      <c r="B3" s="1" t="s">
        <v>60</v>
      </c>
      <c r="D3" s="1" t="s">
        <v>61</v>
      </c>
      <c r="F3" s="1" t="s">
        <v>64</v>
      </c>
      <c r="G3" s="1" t="s">
        <v>66</v>
      </c>
      <c r="K3" s="1" t="s">
        <v>37</v>
      </c>
      <c r="M3" s="3">
        <v>2E-3</v>
      </c>
      <c r="N3" s="3">
        <v>1.2999999999999999E-3</v>
      </c>
      <c r="O3" s="3">
        <v>3.2109999999999999</v>
      </c>
      <c r="P3" s="3">
        <v>0.26500000000000001</v>
      </c>
      <c r="Q3" s="4">
        <v>0.9</v>
      </c>
      <c r="R3" s="5">
        <v>30</v>
      </c>
      <c r="S3" s="2">
        <v>2</v>
      </c>
      <c r="T3" s="2">
        <v>13</v>
      </c>
      <c r="U3" s="6"/>
      <c r="V3" s="6"/>
      <c r="W3" s="6" t="s">
        <v>14</v>
      </c>
      <c r="X3" s="1" t="s">
        <v>451</v>
      </c>
      <c r="Y3" s="1" t="s">
        <v>15</v>
      </c>
      <c r="Z3" s="1" t="s">
        <v>284</v>
      </c>
      <c r="AA3" s="6" t="s">
        <v>361</v>
      </c>
    </row>
    <row r="4" spans="1:27" x14ac:dyDescent="0.3">
      <c r="A4" s="1" t="s">
        <v>33</v>
      </c>
      <c r="B4" s="1" t="s">
        <v>60</v>
      </c>
      <c r="D4" s="1" t="s">
        <v>62</v>
      </c>
      <c r="F4" s="1" t="s">
        <v>42</v>
      </c>
      <c r="G4" s="1" t="s">
        <v>67</v>
      </c>
      <c r="K4" s="1" t="s">
        <v>37</v>
      </c>
      <c r="M4" s="3">
        <v>1.2E-2</v>
      </c>
      <c r="N4" s="3"/>
      <c r="O4" s="3">
        <v>2.74</v>
      </c>
      <c r="P4" s="3"/>
      <c r="R4" s="5"/>
      <c r="S4" s="2"/>
      <c r="T4" s="2"/>
      <c r="U4" s="6"/>
      <c r="V4" s="6"/>
      <c r="W4" s="6" t="s">
        <v>92</v>
      </c>
      <c r="X4" s="1" t="s">
        <v>451</v>
      </c>
      <c r="Y4" s="1" t="s">
        <v>99</v>
      </c>
      <c r="Z4" s="1" t="s">
        <v>284</v>
      </c>
      <c r="AA4" s="6" t="s">
        <v>361</v>
      </c>
    </row>
    <row r="5" spans="1:27" x14ac:dyDescent="0.3">
      <c r="A5" s="1" t="s">
        <v>33</v>
      </c>
      <c r="B5" s="1" t="s">
        <v>60</v>
      </c>
      <c r="D5" s="1" t="s">
        <v>62</v>
      </c>
      <c r="F5" s="1" t="s">
        <v>42</v>
      </c>
      <c r="G5" s="1" t="s">
        <v>68</v>
      </c>
      <c r="K5" s="1" t="s">
        <v>37</v>
      </c>
      <c r="M5" s="3">
        <v>4.8999999999999998E-3</v>
      </c>
      <c r="N5" s="3"/>
      <c r="O5" s="3">
        <v>3.0009999999999999</v>
      </c>
      <c r="P5" s="3">
        <v>4.2000000000000003E-2</v>
      </c>
      <c r="Q5" s="4">
        <v>0.95</v>
      </c>
      <c r="R5" s="5">
        <v>37</v>
      </c>
      <c r="S5" s="2"/>
      <c r="T5" s="2"/>
      <c r="U5" s="6"/>
      <c r="V5" s="6"/>
      <c r="W5" s="6" t="s">
        <v>93</v>
      </c>
      <c r="X5" s="1" t="s">
        <v>451</v>
      </c>
      <c r="Y5" s="1" t="s">
        <v>100</v>
      </c>
      <c r="Z5" s="1" t="s">
        <v>284</v>
      </c>
      <c r="AA5" s="6" t="s">
        <v>361</v>
      </c>
    </row>
    <row r="6" spans="1:27" x14ac:dyDescent="0.3">
      <c r="A6" s="1" t="s">
        <v>33</v>
      </c>
      <c r="B6" s="1" t="s">
        <v>60</v>
      </c>
      <c r="D6" s="1" t="s">
        <v>63</v>
      </c>
      <c r="F6" s="1" t="s">
        <v>69</v>
      </c>
      <c r="G6" s="1" t="s">
        <v>70</v>
      </c>
      <c r="I6" s="8"/>
      <c r="J6" s="8"/>
      <c r="K6" s="1" t="s">
        <v>37</v>
      </c>
      <c r="M6" s="3">
        <v>1E-3</v>
      </c>
      <c r="N6" s="7"/>
      <c r="O6" s="3">
        <v>3.4039999999999999</v>
      </c>
      <c r="P6" s="3"/>
      <c r="Q6" s="4">
        <v>0.99</v>
      </c>
      <c r="R6" s="5"/>
      <c r="S6" s="2"/>
      <c r="T6" s="2"/>
      <c r="U6" s="6"/>
      <c r="V6" s="6"/>
      <c r="W6" s="9" t="s">
        <v>93</v>
      </c>
      <c r="X6" s="1" t="s">
        <v>451</v>
      </c>
      <c r="Y6" s="1" t="s">
        <v>101</v>
      </c>
      <c r="Z6" s="1" t="s">
        <v>284</v>
      </c>
      <c r="AA6" s="6" t="s">
        <v>361</v>
      </c>
    </row>
    <row r="7" spans="1:27" x14ac:dyDescent="0.3">
      <c r="A7" s="1" t="s">
        <v>33</v>
      </c>
      <c r="B7" s="1" t="s">
        <v>60</v>
      </c>
      <c r="D7" s="1" t="s">
        <v>63</v>
      </c>
      <c r="F7" s="1" t="s">
        <v>69</v>
      </c>
      <c r="G7" s="1" t="s">
        <v>70</v>
      </c>
      <c r="K7" s="1" t="s">
        <v>37</v>
      </c>
      <c r="L7" s="1" t="s">
        <v>71</v>
      </c>
      <c r="M7" s="3">
        <v>7.9000000000000008E-3</v>
      </c>
      <c r="N7" s="3"/>
      <c r="O7" s="3">
        <v>2.9289999999999998</v>
      </c>
      <c r="P7" s="3"/>
      <c r="Q7" s="4">
        <v>0.95</v>
      </c>
      <c r="R7" s="5">
        <v>407</v>
      </c>
      <c r="S7" s="2"/>
      <c r="T7" s="2"/>
      <c r="U7" s="6"/>
      <c r="V7" s="6"/>
      <c r="W7" s="6" t="s">
        <v>23</v>
      </c>
      <c r="X7" s="1" t="s">
        <v>451</v>
      </c>
      <c r="Y7" s="1" t="s">
        <v>102</v>
      </c>
      <c r="Z7" s="1" t="s">
        <v>284</v>
      </c>
      <c r="AA7" s="6" t="s">
        <v>361</v>
      </c>
    </row>
    <row r="8" spans="1:27" x14ac:dyDescent="0.3">
      <c r="A8" s="1" t="s">
        <v>33</v>
      </c>
      <c r="B8" s="1" t="s">
        <v>60</v>
      </c>
      <c r="D8" s="1" t="s">
        <v>63</v>
      </c>
      <c r="F8" s="1" t="s">
        <v>69</v>
      </c>
      <c r="G8" s="1" t="s">
        <v>70</v>
      </c>
      <c r="K8" s="1" t="s">
        <v>37</v>
      </c>
      <c r="L8" s="1" t="s">
        <v>72</v>
      </c>
      <c r="M8" s="3">
        <v>6.7000000000000002E-3</v>
      </c>
      <c r="N8" s="3"/>
      <c r="O8" s="3">
        <v>3.0230000000000001</v>
      </c>
      <c r="P8" s="3"/>
      <c r="Q8" s="4">
        <v>0.96</v>
      </c>
      <c r="R8" s="5">
        <v>540</v>
      </c>
      <c r="S8" s="2"/>
      <c r="T8" s="2"/>
      <c r="U8" s="6"/>
      <c r="V8" s="6"/>
      <c r="W8" s="6" t="s">
        <v>23</v>
      </c>
      <c r="X8" s="1" t="s">
        <v>451</v>
      </c>
      <c r="Y8" s="1" t="s">
        <v>102</v>
      </c>
      <c r="Z8" s="1" t="s">
        <v>284</v>
      </c>
      <c r="AA8" s="6" t="s">
        <v>361</v>
      </c>
    </row>
    <row r="9" spans="1:27" ht="14.5" x14ac:dyDescent="0.35">
      <c r="A9" s="1" t="s">
        <v>73</v>
      </c>
      <c r="B9" t="s">
        <v>487</v>
      </c>
      <c r="D9" t="s">
        <v>488</v>
      </c>
      <c r="F9" t="s">
        <v>535</v>
      </c>
      <c r="G9" t="s">
        <v>536</v>
      </c>
      <c r="K9" s="1" t="s">
        <v>37</v>
      </c>
      <c r="L9" s="1" t="s">
        <v>548</v>
      </c>
      <c r="M9">
        <v>2.3052063287225571E-2</v>
      </c>
      <c r="N9"/>
      <c r="O9">
        <v>2.31</v>
      </c>
      <c r="P9"/>
      <c r="Q9" s="17">
        <v>0.85</v>
      </c>
      <c r="R9">
        <v>33</v>
      </c>
      <c r="S9">
        <v>2</v>
      </c>
      <c r="T9">
        <v>8.5</v>
      </c>
      <c r="U9" s="6"/>
      <c r="V9" s="6"/>
      <c r="W9" s="6" t="s">
        <v>549</v>
      </c>
      <c r="X9" s="6" t="s">
        <v>550</v>
      </c>
      <c r="Y9" t="s">
        <v>551</v>
      </c>
    </row>
    <row r="10" spans="1:27" ht="14.5" x14ac:dyDescent="0.35">
      <c r="A10" s="1" t="s">
        <v>33</v>
      </c>
      <c r="B10" s="15" t="s">
        <v>60</v>
      </c>
      <c r="D10" s="15" t="s">
        <v>62</v>
      </c>
      <c r="F10" s="15" t="s">
        <v>42</v>
      </c>
      <c r="G10" s="15" t="s">
        <v>563</v>
      </c>
      <c r="H10" s="15"/>
      <c r="K10" s="1" t="s">
        <v>37</v>
      </c>
      <c r="M10" s="15">
        <v>7.0834089290521185E-3</v>
      </c>
      <c r="N10" s="15"/>
      <c r="O10" s="15">
        <v>2.83</v>
      </c>
      <c r="Q10" s="18">
        <v>0.9</v>
      </c>
      <c r="R10" s="15">
        <v>13</v>
      </c>
      <c r="S10" s="15">
        <v>2.1</v>
      </c>
      <c r="T10" s="15">
        <v>11.8</v>
      </c>
      <c r="U10" s="6"/>
      <c r="V10" s="6"/>
      <c r="W10" s="6" t="s">
        <v>570</v>
      </c>
      <c r="X10" s="6" t="s">
        <v>550</v>
      </c>
      <c r="Y10" s="1" t="s">
        <v>571</v>
      </c>
    </row>
    <row r="11" spans="1:27" ht="14.5" x14ac:dyDescent="0.35">
      <c r="A11" s="1" t="s">
        <v>73</v>
      </c>
      <c r="B11" t="s">
        <v>489</v>
      </c>
      <c r="D11" t="s">
        <v>434</v>
      </c>
      <c r="F11" t="s">
        <v>537</v>
      </c>
      <c r="G11"/>
      <c r="K11" s="1" t="s">
        <v>37</v>
      </c>
      <c r="L11" s="1" t="s">
        <v>548</v>
      </c>
      <c r="M11">
        <v>1.0205486470764058E-4</v>
      </c>
      <c r="N11"/>
      <c r="O11">
        <v>3.25</v>
      </c>
      <c r="P11"/>
      <c r="Q11" s="17">
        <v>0.74</v>
      </c>
      <c r="R11">
        <v>28</v>
      </c>
      <c r="S11">
        <v>11</v>
      </c>
      <c r="T11">
        <v>40</v>
      </c>
      <c r="U11" s="6"/>
      <c r="V11" s="6"/>
      <c r="W11" s="6" t="s">
        <v>549</v>
      </c>
      <c r="X11" s="6" t="s">
        <v>550</v>
      </c>
      <c r="Y11" t="s">
        <v>551</v>
      </c>
    </row>
    <row r="12" spans="1:27" x14ac:dyDescent="0.3">
      <c r="A12" s="1" t="s">
        <v>432</v>
      </c>
      <c r="B12" s="1" t="s">
        <v>598</v>
      </c>
      <c r="D12" s="1" t="s">
        <v>586</v>
      </c>
      <c r="F12" s="1" t="s">
        <v>583</v>
      </c>
      <c r="G12" s="1" t="s">
        <v>578</v>
      </c>
      <c r="K12" s="1" t="s">
        <v>37</v>
      </c>
      <c r="L12" s="1" t="s">
        <v>590</v>
      </c>
      <c r="M12" s="6">
        <v>8.7839440000000001E-5</v>
      </c>
      <c r="N12" s="6"/>
      <c r="O12" s="1">
        <v>2.65</v>
      </c>
      <c r="P12" s="6"/>
      <c r="Q12" s="4">
        <v>0.89</v>
      </c>
      <c r="R12" s="5">
        <v>19</v>
      </c>
      <c r="S12" s="6">
        <v>10.33</v>
      </c>
      <c r="T12" s="6">
        <v>44.43</v>
      </c>
      <c r="U12" s="6"/>
      <c r="V12" s="6"/>
      <c r="W12" s="6" t="s">
        <v>587</v>
      </c>
      <c r="X12" s="6" t="s">
        <v>588</v>
      </c>
      <c r="Y12" s="1" t="s">
        <v>589</v>
      </c>
    </row>
    <row r="13" spans="1:27" x14ac:dyDescent="0.3">
      <c r="A13" s="1" t="s">
        <v>432</v>
      </c>
      <c r="B13" s="1" t="s">
        <v>598</v>
      </c>
      <c r="D13" s="1" t="s">
        <v>586</v>
      </c>
      <c r="F13" s="1" t="s">
        <v>583</v>
      </c>
      <c r="G13" s="1" t="s">
        <v>578</v>
      </c>
      <c r="K13" s="1" t="s">
        <v>36</v>
      </c>
      <c r="L13" s="1" t="s">
        <v>590</v>
      </c>
      <c r="M13" s="6">
        <v>4.1909419999999997E-5</v>
      </c>
      <c r="N13" s="6"/>
      <c r="O13" s="6">
        <v>2.8</v>
      </c>
      <c r="P13" s="6"/>
      <c r="Q13" s="4">
        <v>0.93</v>
      </c>
      <c r="R13" s="5">
        <v>19</v>
      </c>
      <c r="S13" s="6">
        <v>10.33</v>
      </c>
      <c r="T13" s="6">
        <v>44.43</v>
      </c>
      <c r="U13" s="6"/>
      <c r="V13" s="6"/>
      <c r="W13" s="6" t="s">
        <v>587</v>
      </c>
      <c r="X13" s="6" t="s">
        <v>588</v>
      </c>
      <c r="Y13" s="1" t="s">
        <v>589</v>
      </c>
    </row>
    <row r="14" spans="1:27" ht="14.5" x14ac:dyDescent="0.35">
      <c r="A14" s="1" t="s">
        <v>432</v>
      </c>
      <c r="B14" s="1" t="s">
        <v>596</v>
      </c>
      <c r="D14" s="1" t="s">
        <v>593</v>
      </c>
      <c r="E14" s="1" t="s">
        <v>592</v>
      </c>
      <c r="F14" s="1" t="s">
        <v>572</v>
      </c>
      <c r="G14" s="1" t="s">
        <v>573</v>
      </c>
      <c r="H14" s="15"/>
      <c r="J14" s="15"/>
      <c r="K14" s="1" t="s">
        <v>37</v>
      </c>
      <c r="M14" s="15">
        <v>4.7643930000000001E-2</v>
      </c>
      <c r="N14" s="15"/>
      <c r="O14" s="15">
        <v>0.39200000000000002</v>
      </c>
      <c r="Q14" s="18"/>
      <c r="R14" s="15">
        <v>15</v>
      </c>
      <c r="S14" s="15">
        <v>10.5</v>
      </c>
      <c r="T14" s="15">
        <v>14.5</v>
      </c>
      <c r="U14" s="6"/>
      <c r="V14" s="6"/>
      <c r="W14" s="6"/>
      <c r="X14" s="6"/>
      <c r="Y14" s="1" t="s">
        <v>591</v>
      </c>
    </row>
    <row r="15" spans="1:27" ht="14.5" x14ac:dyDescent="0.35">
      <c r="A15" s="1" t="s">
        <v>432</v>
      </c>
      <c r="B15" s="1" t="s">
        <v>596</v>
      </c>
      <c r="D15" s="1" t="s">
        <v>585</v>
      </c>
      <c r="E15" s="1" t="s">
        <v>595</v>
      </c>
      <c r="F15" s="1" t="s">
        <v>576</v>
      </c>
      <c r="G15" s="1" t="s">
        <v>577</v>
      </c>
      <c r="K15" s="1" t="s">
        <v>37</v>
      </c>
      <c r="M15" s="6">
        <v>1.3286589999999999E-2</v>
      </c>
      <c r="N15" s="6"/>
      <c r="O15" s="6">
        <v>0.96199999999999997</v>
      </c>
      <c r="P15" s="6"/>
      <c r="R15" s="15">
        <v>15</v>
      </c>
      <c r="S15" s="6"/>
      <c r="T15" s="6"/>
      <c r="U15" s="6"/>
      <c r="V15" s="6"/>
      <c r="W15" s="6"/>
      <c r="X15" s="6"/>
      <c r="Y15" s="1" t="s">
        <v>591</v>
      </c>
    </row>
    <row r="16" spans="1:27" x14ac:dyDescent="0.3">
      <c r="A16" s="1" t="s">
        <v>432</v>
      </c>
      <c r="B16" s="1" t="s">
        <v>596</v>
      </c>
      <c r="D16" s="1" t="s">
        <v>585</v>
      </c>
      <c r="F16" s="1" t="s">
        <v>584</v>
      </c>
      <c r="G16" s="1" t="s">
        <v>580</v>
      </c>
      <c r="K16" s="1" t="s">
        <v>37</v>
      </c>
      <c r="L16" s="1" t="s">
        <v>590</v>
      </c>
      <c r="M16" s="6">
        <v>6.3784519999999994E-5</v>
      </c>
      <c r="N16" s="6"/>
      <c r="O16" s="6">
        <v>2.2799999999999998</v>
      </c>
      <c r="P16" s="6"/>
      <c r="Q16" s="4">
        <v>0.8</v>
      </c>
      <c r="R16" s="5">
        <v>89</v>
      </c>
      <c r="S16" s="6">
        <v>7.67</v>
      </c>
      <c r="T16" s="6">
        <v>23.46</v>
      </c>
      <c r="U16" s="6"/>
      <c r="V16" s="6"/>
      <c r="W16" s="6" t="s">
        <v>587</v>
      </c>
      <c r="X16" s="6" t="s">
        <v>588</v>
      </c>
      <c r="Y16" s="1" t="s">
        <v>589</v>
      </c>
    </row>
    <row r="17" spans="1:27" x14ac:dyDescent="0.3">
      <c r="A17" s="1" t="s">
        <v>432</v>
      </c>
      <c r="B17" s="1" t="s">
        <v>596</v>
      </c>
      <c r="D17" s="1" t="s">
        <v>585</v>
      </c>
      <c r="F17" s="1" t="s">
        <v>584</v>
      </c>
      <c r="G17" s="1" t="s">
        <v>580</v>
      </c>
      <c r="K17" s="1" t="s">
        <v>36</v>
      </c>
      <c r="L17" s="1" t="s">
        <v>590</v>
      </c>
      <c r="M17" s="6">
        <v>2.5674820000000002E-5</v>
      </c>
      <c r="N17" s="6"/>
      <c r="O17" s="6">
        <v>2.48</v>
      </c>
      <c r="P17" s="6"/>
      <c r="Q17" s="4">
        <v>0.64</v>
      </c>
      <c r="R17" s="5">
        <v>89</v>
      </c>
      <c r="S17" s="6">
        <v>7.67</v>
      </c>
      <c r="T17" s="6">
        <v>23.46</v>
      </c>
      <c r="U17" s="6"/>
      <c r="V17" s="6"/>
      <c r="W17" s="6" t="s">
        <v>587</v>
      </c>
      <c r="X17" s="6" t="s">
        <v>588</v>
      </c>
      <c r="Y17" s="1" t="s">
        <v>589</v>
      </c>
    </row>
    <row r="18" spans="1:27" x14ac:dyDescent="0.3">
      <c r="A18" s="1" t="s">
        <v>671</v>
      </c>
      <c r="B18" s="1" t="s">
        <v>599</v>
      </c>
      <c r="F18" s="1" t="s">
        <v>600</v>
      </c>
      <c r="G18" s="1" t="s">
        <v>307</v>
      </c>
      <c r="K18" s="1" t="s">
        <v>37</v>
      </c>
      <c r="L18" s="1" t="s">
        <v>673</v>
      </c>
      <c r="M18" s="6">
        <f>EXP(1.44)/1000</f>
        <v>4.220695816996552E-3</v>
      </c>
      <c r="N18" s="6"/>
      <c r="O18" s="6">
        <v>1.8</v>
      </c>
      <c r="P18" s="6"/>
      <c r="Q18" s="4">
        <v>0.8</v>
      </c>
      <c r="R18" s="5">
        <v>44</v>
      </c>
      <c r="S18" s="6">
        <v>0.44</v>
      </c>
      <c r="T18" s="6">
        <v>1.22</v>
      </c>
      <c r="U18" s="6"/>
      <c r="V18" s="6"/>
      <c r="W18" s="6"/>
      <c r="X18" s="6"/>
      <c r="Y18" s="1" t="s">
        <v>660</v>
      </c>
      <c r="Z18" s="1" t="s">
        <v>669</v>
      </c>
      <c r="AA18" s="1" t="s">
        <v>670</v>
      </c>
    </row>
    <row r="19" spans="1:27" x14ac:dyDescent="0.3">
      <c r="A19" s="1" t="s">
        <v>671</v>
      </c>
      <c r="B19" s="1" t="s">
        <v>599</v>
      </c>
      <c r="F19" s="1" t="s">
        <v>600</v>
      </c>
      <c r="G19" s="1" t="s">
        <v>307</v>
      </c>
      <c r="K19" s="1" t="s">
        <v>37</v>
      </c>
      <c r="L19" s="1" t="s">
        <v>673</v>
      </c>
      <c r="M19" s="6">
        <f>EXP(1.08)/1000</f>
        <v>2.9446795510655243E-3</v>
      </c>
      <c r="N19" s="6"/>
      <c r="O19" s="6">
        <v>2.16</v>
      </c>
      <c r="P19" s="6"/>
      <c r="Q19" s="4">
        <v>0.86</v>
      </c>
      <c r="R19" s="5">
        <v>52</v>
      </c>
      <c r="S19" s="6">
        <v>0.44</v>
      </c>
      <c r="T19" s="6">
        <v>1.22</v>
      </c>
      <c r="U19" s="6"/>
      <c r="V19" s="6"/>
      <c r="W19" s="6"/>
      <c r="X19" s="6"/>
      <c r="Y19" s="1" t="s">
        <v>660</v>
      </c>
      <c r="Z19" s="1" t="s">
        <v>669</v>
      </c>
      <c r="AA19" s="1" t="s">
        <v>670</v>
      </c>
    </row>
    <row r="20" spans="1:27" x14ac:dyDescent="0.3">
      <c r="A20" s="1" t="s">
        <v>671</v>
      </c>
      <c r="B20" s="1" t="s">
        <v>599</v>
      </c>
      <c r="F20" s="1" t="s">
        <v>600</v>
      </c>
      <c r="G20" s="1" t="s">
        <v>307</v>
      </c>
      <c r="K20" s="1" t="s">
        <v>37</v>
      </c>
      <c r="L20" s="1" t="s">
        <v>673</v>
      </c>
      <c r="M20" s="6">
        <f>EXP(1.6026)/1000</f>
        <v>4.9659270644666562E-3</v>
      </c>
      <c r="N20" s="6"/>
      <c r="O20" s="6">
        <v>3.6320000000000001</v>
      </c>
      <c r="P20" s="6"/>
      <c r="Q20" s="4">
        <v>0.98</v>
      </c>
      <c r="R20" s="5" t="s">
        <v>601</v>
      </c>
      <c r="S20" s="6">
        <v>0.4</v>
      </c>
      <c r="T20" s="6">
        <v>1.5</v>
      </c>
      <c r="U20" s="6"/>
      <c r="V20" s="6"/>
      <c r="W20" s="6"/>
      <c r="X20" s="6"/>
      <c r="Y20" s="1" t="s">
        <v>661</v>
      </c>
      <c r="Z20" s="1" t="s">
        <v>669</v>
      </c>
      <c r="AA20" s="1" t="s">
        <v>670</v>
      </c>
    </row>
    <row r="21" spans="1:27" x14ac:dyDescent="0.3">
      <c r="A21" s="1" t="s">
        <v>671</v>
      </c>
      <c r="B21" s="1" t="s">
        <v>599</v>
      </c>
      <c r="F21" s="1" t="s">
        <v>600</v>
      </c>
      <c r="G21" s="1" t="s">
        <v>602</v>
      </c>
      <c r="K21" s="1" t="s">
        <v>37</v>
      </c>
      <c r="L21" s="1" t="s">
        <v>673</v>
      </c>
      <c r="M21" s="6">
        <f>EXP(1.4322)/1000</f>
        <v>4.1879024500174004E-3</v>
      </c>
      <c r="N21" s="6"/>
      <c r="O21" s="6">
        <v>3.129</v>
      </c>
      <c r="P21" s="6"/>
      <c r="Q21" s="4">
        <v>0.95</v>
      </c>
      <c r="R21" s="5" t="s">
        <v>601</v>
      </c>
      <c r="S21" s="6">
        <v>0.5</v>
      </c>
      <c r="T21" s="6">
        <v>2</v>
      </c>
      <c r="U21" s="6"/>
      <c r="V21" s="6"/>
      <c r="W21" s="6"/>
      <c r="X21" s="6"/>
      <c r="Y21" s="1" t="s">
        <v>661</v>
      </c>
      <c r="Z21" s="1" t="s">
        <v>669</v>
      </c>
      <c r="AA21" s="1" t="s">
        <v>670</v>
      </c>
    </row>
    <row r="22" spans="1:27" x14ac:dyDescent="0.3">
      <c r="A22" s="1" t="s">
        <v>671</v>
      </c>
      <c r="B22" s="1" t="s">
        <v>599</v>
      </c>
      <c r="F22" s="1" t="s">
        <v>600</v>
      </c>
      <c r="G22" s="1" t="s">
        <v>603</v>
      </c>
      <c r="K22" s="1" t="s">
        <v>37</v>
      </c>
      <c r="L22" s="1" t="s">
        <v>673</v>
      </c>
      <c r="M22" s="6">
        <f>EXP(1.0727)/1000</f>
        <v>2.9232616607555734E-3</v>
      </c>
      <c r="N22" s="6"/>
      <c r="O22" s="6">
        <v>2.8915000000000002</v>
      </c>
      <c r="P22" s="6"/>
      <c r="R22" s="5">
        <v>402</v>
      </c>
      <c r="S22" s="6">
        <v>0.6</v>
      </c>
      <c r="T22" s="6">
        <v>2.35</v>
      </c>
      <c r="V22" s="6"/>
      <c r="W22" s="6"/>
      <c r="X22" s="6"/>
      <c r="Y22" s="1" t="s">
        <v>662</v>
      </c>
      <c r="Z22" s="1" t="s">
        <v>669</v>
      </c>
      <c r="AA22" s="1" t="s">
        <v>670</v>
      </c>
    </row>
    <row r="23" spans="1:27" x14ac:dyDescent="0.3">
      <c r="A23" s="1" t="s">
        <v>671</v>
      </c>
      <c r="B23" s="1" t="s">
        <v>599</v>
      </c>
      <c r="F23" s="1" t="s">
        <v>600</v>
      </c>
      <c r="G23" s="1" t="s">
        <v>603</v>
      </c>
      <c r="K23" s="1" t="s">
        <v>37</v>
      </c>
      <c r="L23" s="1" t="s">
        <v>673</v>
      </c>
      <c r="M23" s="6">
        <f>EXP(1.34)/1000</f>
        <v>3.8190435053663363E-3</v>
      </c>
      <c r="N23" s="6"/>
      <c r="O23" s="6">
        <v>2.5567000000000002</v>
      </c>
      <c r="P23" s="6"/>
      <c r="R23" s="5"/>
      <c r="S23" s="6"/>
      <c r="T23" s="6"/>
      <c r="U23" s="6"/>
      <c r="V23" s="6"/>
      <c r="W23" s="6"/>
      <c r="X23" s="6"/>
      <c r="Y23" s="1" t="s">
        <v>662</v>
      </c>
      <c r="Z23" s="1" t="s">
        <v>669</v>
      </c>
      <c r="AA23" s="1" t="s">
        <v>670</v>
      </c>
    </row>
    <row r="24" spans="1:27" x14ac:dyDescent="0.3">
      <c r="A24" s="1" t="s">
        <v>671</v>
      </c>
      <c r="B24" s="1" t="s">
        <v>599</v>
      </c>
      <c r="F24" s="1" t="s">
        <v>600</v>
      </c>
      <c r="G24" s="1" t="s">
        <v>603</v>
      </c>
      <c r="K24" s="1" t="s">
        <v>37</v>
      </c>
      <c r="L24" s="1" t="s">
        <v>673</v>
      </c>
      <c r="M24" s="6">
        <f>EXP(1.37)/1000</f>
        <v>3.9353506954704735E-3</v>
      </c>
      <c r="N24" s="6"/>
      <c r="O24" s="6">
        <v>2.5567000000000002</v>
      </c>
      <c r="P24" s="6"/>
      <c r="R24" s="5">
        <v>73</v>
      </c>
      <c r="S24" s="6"/>
      <c r="T24" s="6"/>
      <c r="U24" s="6"/>
      <c r="V24" s="6"/>
      <c r="W24" s="6"/>
      <c r="X24" s="6"/>
      <c r="Y24" s="1" t="s">
        <v>662</v>
      </c>
      <c r="Z24" s="1" t="s">
        <v>669</v>
      </c>
      <c r="AA24" s="1" t="s">
        <v>670</v>
      </c>
    </row>
    <row r="25" spans="1:27" x14ac:dyDescent="0.3">
      <c r="A25" s="1" t="s">
        <v>671</v>
      </c>
      <c r="B25" s="1" t="s">
        <v>599</v>
      </c>
      <c r="F25" s="1" t="s">
        <v>600</v>
      </c>
      <c r="G25" s="1" t="s">
        <v>604</v>
      </c>
      <c r="K25" s="1" t="s">
        <v>37</v>
      </c>
      <c r="L25" s="1" t="s">
        <v>673</v>
      </c>
      <c r="M25" s="6">
        <f>EXP(1.51)/1000</f>
        <v>4.526730794314252E-3</v>
      </c>
      <c r="N25" s="6"/>
      <c r="O25" s="6">
        <v>2.56</v>
      </c>
      <c r="P25" s="6"/>
      <c r="R25" s="5"/>
      <c r="S25" s="6"/>
      <c r="T25" s="6"/>
      <c r="U25" s="6"/>
      <c r="V25" s="6"/>
      <c r="W25" s="6"/>
      <c r="X25" s="6"/>
      <c r="Y25" s="1" t="s">
        <v>666</v>
      </c>
      <c r="Z25" s="1" t="s">
        <v>669</v>
      </c>
      <c r="AA25" s="1" t="s">
        <v>670</v>
      </c>
    </row>
    <row r="26" spans="1:27" x14ac:dyDescent="0.3">
      <c r="A26" s="1" t="s">
        <v>671</v>
      </c>
      <c r="B26" s="1" t="s">
        <v>599</v>
      </c>
      <c r="F26" s="1" t="s">
        <v>600</v>
      </c>
      <c r="G26" s="1" t="s">
        <v>604</v>
      </c>
      <c r="K26" s="1" t="s">
        <v>37</v>
      </c>
      <c r="L26" s="1" t="s">
        <v>673</v>
      </c>
      <c r="M26" s="6">
        <f>EXP(2.64)/1000</f>
        <v>1.4013203607733615E-2</v>
      </c>
      <c r="N26" s="6"/>
      <c r="O26" s="6">
        <v>2.54</v>
      </c>
      <c r="P26" s="6"/>
      <c r="R26" s="5"/>
      <c r="S26" s="6">
        <v>0.6</v>
      </c>
      <c r="T26" s="6">
        <v>2.2000000000000002</v>
      </c>
      <c r="U26" s="6"/>
      <c r="V26" s="6"/>
      <c r="W26" s="6"/>
      <c r="X26" s="6"/>
      <c r="Y26" s="1" t="s">
        <v>662</v>
      </c>
      <c r="Z26" s="1" t="s">
        <v>669</v>
      </c>
      <c r="AA26" s="1" t="s">
        <v>670</v>
      </c>
    </row>
    <row r="27" spans="1:27" x14ac:dyDescent="0.3">
      <c r="A27" s="1" t="s">
        <v>671</v>
      </c>
      <c r="B27" s="1" t="s">
        <v>599</v>
      </c>
      <c r="F27" s="1" t="s">
        <v>600</v>
      </c>
      <c r="G27" s="1" t="s">
        <v>605</v>
      </c>
      <c r="K27" s="1" t="s">
        <v>37</v>
      </c>
      <c r="L27" s="1" t="s">
        <v>673</v>
      </c>
      <c r="M27" s="6">
        <f>EXP(2.46)/1000</f>
        <v>1.1704811539980854E-2</v>
      </c>
      <c r="N27" s="6"/>
      <c r="O27" s="6">
        <v>2.52</v>
      </c>
      <c r="P27" s="6"/>
      <c r="R27" s="5">
        <v>372</v>
      </c>
      <c r="S27" s="6">
        <v>0.6</v>
      </c>
      <c r="T27" s="6">
        <v>2.2000000000000002</v>
      </c>
      <c r="U27" s="6"/>
      <c r="V27" s="6"/>
      <c r="W27" s="6"/>
      <c r="X27" s="6"/>
      <c r="Y27" s="1" t="s">
        <v>662</v>
      </c>
      <c r="Z27" s="1" t="s">
        <v>669</v>
      </c>
      <c r="AA27" s="1" t="s">
        <v>670</v>
      </c>
    </row>
    <row r="28" spans="1:27" x14ac:dyDescent="0.3">
      <c r="A28" s="1" t="s">
        <v>671</v>
      </c>
      <c r="B28" s="1" t="s">
        <v>599</v>
      </c>
      <c r="F28" s="1" t="s">
        <v>600</v>
      </c>
      <c r="G28" s="1" t="s">
        <v>605</v>
      </c>
      <c r="K28" s="1" t="s">
        <v>37</v>
      </c>
      <c r="L28" s="1" t="s">
        <v>673</v>
      </c>
      <c r="M28" s="6">
        <f>EXP(1.4369)/1000</f>
        <v>4.207631919467038E-3</v>
      </c>
      <c r="N28" s="6"/>
      <c r="O28" s="6">
        <v>2.7679999999999998</v>
      </c>
      <c r="P28" s="6"/>
      <c r="R28" s="5">
        <v>22</v>
      </c>
      <c r="S28" s="6">
        <v>0.78</v>
      </c>
      <c r="T28" s="6">
        <v>2.21</v>
      </c>
      <c r="U28" s="6"/>
      <c r="V28" s="6"/>
      <c r="W28" s="6"/>
      <c r="X28" s="6"/>
      <c r="Y28" s="1" t="s">
        <v>662</v>
      </c>
      <c r="Z28" s="1" t="s">
        <v>669</v>
      </c>
      <c r="AA28" s="1" t="s">
        <v>670</v>
      </c>
    </row>
    <row r="29" spans="1:27" x14ac:dyDescent="0.3">
      <c r="A29" s="1" t="s">
        <v>671</v>
      </c>
      <c r="B29" s="1" t="s">
        <v>599</v>
      </c>
      <c r="F29" s="1" t="s">
        <v>600</v>
      </c>
      <c r="G29" s="1" t="s">
        <v>606</v>
      </c>
      <c r="K29" s="1" t="s">
        <v>37</v>
      </c>
      <c r="L29" s="1" t="s">
        <v>673</v>
      </c>
      <c r="M29" s="6">
        <f>EXP(1.54)/1000</f>
        <v>4.6645902709881257E-3</v>
      </c>
      <c r="N29" s="6"/>
      <c r="O29" s="6">
        <v>2.29</v>
      </c>
      <c r="P29" s="6"/>
      <c r="R29" s="5"/>
      <c r="S29" s="6"/>
      <c r="T29" s="6"/>
      <c r="U29" s="6"/>
      <c r="V29" s="6"/>
      <c r="W29" s="6"/>
      <c r="X29" s="6"/>
      <c r="Y29" s="1" t="s">
        <v>666</v>
      </c>
      <c r="Z29" s="1" t="s">
        <v>669</v>
      </c>
      <c r="AA29" s="1" t="s">
        <v>670</v>
      </c>
    </row>
    <row r="30" spans="1:27" x14ac:dyDescent="0.3">
      <c r="A30" s="1" t="s">
        <v>671</v>
      </c>
      <c r="B30" s="1" t="s">
        <v>599</v>
      </c>
      <c r="F30" s="1" t="s">
        <v>600</v>
      </c>
      <c r="G30" s="1" t="s">
        <v>607</v>
      </c>
      <c r="K30" s="1" t="s">
        <v>37</v>
      </c>
      <c r="L30" s="1" t="s">
        <v>673</v>
      </c>
      <c r="M30" s="6">
        <f>EXP(1.9445)/1000</f>
        <v>6.990135913163751E-3</v>
      </c>
      <c r="N30" s="6"/>
      <c r="O30" s="6">
        <v>2.72</v>
      </c>
      <c r="P30" s="6"/>
      <c r="Q30" s="4">
        <v>0.98</v>
      </c>
      <c r="R30" s="5"/>
      <c r="S30" s="6"/>
      <c r="T30" s="6"/>
      <c r="U30" s="6"/>
      <c r="V30" s="6"/>
      <c r="W30" s="6"/>
      <c r="X30" s="6"/>
      <c r="Y30" s="1" t="s">
        <v>664</v>
      </c>
      <c r="Z30" s="1" t="s">
        <v>669</v>
      </c>
      <c r="AA30" s="1" t="s">
        <v>670</v>
      </c>
    </row>
    <row r="31" spans="1:27" x14ac:dyDescent="0.3">
      <c r="A31" s="1" t="s">
        <v>671</v>
      </c>
      <c r="B31" s="1" t="s">
        <v>599</v>
      </c>
      <c r="F31" s="1" t="s">
        <v>600</v>
      </c>
      <c r="G31" s="1" t="s">
        <v>607</v>
      </c>
      <c r="K31" s="1" t="s">
        <v>37</v>
      </c>
      <c r="L31" s="1" t="s">
        <v>673</v>
      </c>
      <c r="M31" s="6">
        <f>EXP(1.4663)/1000</f>
        <v>4.3331727048723191E-3</v>
      </c>
      <c r="N31" s="6"/>
      <c r="O31" s="6">
        <v>3.1932</v>
      </c>
      <c r="P31" s="6"/>
      <c r="R31" s="5">
        <v>245</v>
      </c>
      <c r="S31" s="6">
        <v>0.95</v>
      </c>
      <c r="T31" s="6">
        <v>3.4</v>
      </c>
      <c r="U31" s="6"/>
      <c r="V31" s="6"/>
      <c r="W31" s="6"/>
      <c r="X31" s="6"/>
      <c r="Y31" s="1" t="s">
        <v>662</v>
      </c>
      <c r="Z31" s="1" t="s">
        <v>669</v>
      </c>
      <c r="AA31" s="1" t="s">
        <v>670</v>
      </c>
    </row>
    <row r="32" spans="1:27" x14ac:dyDescent="0.3">
      <c r="A32" s="1" t="s">
        <v>671</v>
      </c>
      <c r="B32" s="1" t="s">
        <v>599</v>
      </c>
      <c r="F32" s="1" t="s">
        <v>600</v>
      </c>
      <c r="G32" s="1" t="s">
        <v>607</v>
      </c>
      <c r="K32" s="1" t="s">
        <v>37</v>
      </c>
      <c r="L32" s="1" t="s">
        <v>673</v>
      </c>
      <c r="M32" s="6">
        <f>EXP(1.59)/1000</f>
        <v>4.9037489283266225E-3</v>
      </c>
      <c r="N32" s="6"/>
      <c r="O32" s="6">
        <v>2.77</v>
      </c>
      <c r="P32" s="6"/>
      <c r="R32" s="5"/>
      <c r="S32" s="6"/>
      <c r="T32" s="6"/>
      <c r="U32" s="6"/>
      <c r="V32" s="6"/>
      <c r="W32" s="6"/>
      <c r="X32" s="6"/>
      <c r="Y32" s="1" t="s">
        <v>666</v>
      </c>
      <c r="Z32" s="1" t="s">
        <v>669</v>
      </c>
      <c r="AA32" s="1" t="s">
        <v>670</v>
      </c>
    </row>
    <row r="33" spans="1:27" x14ac:dyDescent="0.3">
      <c r="A33" s="1" t="s">
        <v>671</v>
      </c>
      <c r="B33" s="1" t="s">
        <v>599</v>
      </c>
      <c r="F33" s="1" t="s">
        <v>600</v>
      </c>
      <c r="G33" s="1" t="s">
        <v>607</v>
      </c>
      <c r="K33" s="1" t="s">
        <v>37</v>
      </c>
      <c r="L33" s="1" t="s">
        <v>673</v>
      </c>
      <c r="M33" s="6">
        <f>EXP(2.48)/1000</f>
        <v>1.1941264417849103E-2</v>
      </c>
      <c r="N33" s="6"/>
      <c r="O33" s="6">
        <v>2.63</v>
      </c>
      <c r="P33" s="6"/>
      <c r="R33" s="5"/>
      <c r="S33" s="6">
        <v>0.55000000000000004</v>
      </c>
      <c r="T33" s="6">
        <v>1.6</v>
      </c>
      <c r="U33" s="6"/>
      <c r="V33" s="6"/>
      <c r="W33" s="6"/>
      <c r="X33" s="6"/>
      <c r="Y33" s="1" t="s">
        <v>665</v>
      </c>
      <c r="Z33" s="1" t="s">
        <v>669</v>
      </c>
      <c r="AA33" s="1" t="s">
        <v>670</v>
      </c>
    </row>
    <row r="34" spans="1:27" x14ac:dyDescent="0.3">
      <c r="A34" s="1" t="s">
        <v>671</v>
      </c>
      <c r="B34" s="1" t="s">
        <v>599</v>
      </c>
      <c r="F34" s="1" t="s">
        <v>600</v>
      </c>
      <c r="G34" s="1" t="s">
        <v>607</v>
      </c>
      <c r="K34" s="1" t="s">
        <v>37</v>
      </c>
      <c r="L34" s="1" t="s">
        <v>677</v>
      </c>
      <c r="M34" s="6">
        <f>EXP(-0.71)/1000</f>
        <v>4.9164419746096507E-4</v>
      </c>
      <c r="O34" s="6">
        <v>3.13</v>
      </c>
      <c r="P34" s="6"/>
      <c r="R34" s="5"/>
      <c r="S34" s="6"/>
      <c r="T34" s="6"/>
      <c r="U34" s="6"/>
      <c r="V34" s="6"/>
      <c r="W34" s="6"/>
      <c r="X34" s="6"/>
      <c r="Y34" s="1" t="s">
        <v>666</v>
      </c>
      <c r="Z34" s="1" t="s">
        <v>669</v>
      </c>
      <c r="AA34" s="1" t="s">
        <v>670</v>
      </c>
    </row>
    <row r="35" spans="1:27" x14ac:dyDescent="0.3">
      <c r="A35" s="1" t="s">
        <v>671</v>
      </c>
      <c r="B35" s="1" t="s">
        <v>599</v>
      </c>
      <c r="F35" s="1" t="s">
        <v>600</v>
      </c>
      <c r="G35" s="1" t="s">
        <v>607</v>
      </c>
      <c r="K35" s="1" t="s">
        <v>37</v>
      </c>
      <c r="L35" s="1" t="s">
        <v>674</v>
      </c>
      <c r="M35" s="6">
        <f>EXP(3.1246)/1000</f>
        <v>2.2750792956038178E-2</v>
      </c>
      <c r="N35" s="6"/>
      <c r="O35" s="6">
        <v>0.52600000000000002</v>
      </c>
      <c r="P35" s="6"/>
      <c r="R35" s="5">
        <v>1581</v>
      </c>
      <c r="S35" s="6">
        <v>0.3</v>
      </c>
      <c r="T35" s="6">
        <v>0.4</v>
      </c>
      <c r="U35" s="6"/>
      <c r="V35" s="6"/>
      <c r="W35" s="6"/>
      <c r="X35" s="6"/>
      <c r="Y35" s="1" t="s">
        <v>667</v>
      </c>
      <c r="Z35" s="1" t="s">
        <v>669</v>
      </c>
      <c r="AA35" s="1" t="s">
        <v>670</v>
      </c>
    </row>
    <row r="36" spans="1:27" x14ac:dyDescent="0.3">
      <c r="A36" s="1" t="s">
        <v>671</v>
      </c>
      <c r="B36" s="1" t="s">
        <v>599</v>
      </c>
      <c r="F36" s="1" t="s">
        <v>600</v>
      </c>
      <c r="G36" s="1" t="s">
        <v>608</v>
      </c>
      <c r="K36" s="1" t="s">
        <v>37</v>
      </c>
      <c r="L36" s="1" t="s">
        <v>673</v>
      </c>
      <c r="M36" s="6">
        <f>EXP(2.3)/1000</f>
        <v>9.9741824548147187E-3</v>
      </c>
      <c r="N36" s="6"/>
      <c r="O36" s="6">
        <v>3.1</v>
      </c>
      <c r="P36" s="6"/>
      <c r="R36" s="5"/>
      <c r="S36" s="6">
        <v>1</v>
      </c>
      <c r="T36" s="6">
        <v>2.5</v>
      </c>
      <c r="U36" s="6"/>
      <c r="V36" s="6"/>
      <c r="W36" s="6"/>
      <c r="X36" s="6"/>
      <c r="Y36" s="1" t="s">
        <v>665</v>
      </c>
      <c r="Z36" s="1" t="s">
        <v>669</v>
      </c>
      <c r="AA36" s="1" t="s">
        <v>670</v>
      </c>
    </row>
    <row r="37" spans="1:27" x14ac:dyDescent="0.3">
      <c r="A37" s="1" t="s">
        <v>671</v>
      </c>
      <c r="B37" s="1" t="s">
        <v>599</v>
      </c>
      <c r="F37" s="1" t="s">
        <v>600</v>
      </c>
      <c r="G37" s="1" t="s">
        <v>609</v>
      </c>
      <c r="K37" s="1" t="s">
        <v>37</v>
      </c>
      <c r="L37" s="1" t="s">
        <v>673</v>
      </c>
      <c r="M37" s="6">
        <f>EXP(1.6729)/1000</f>
        <v>5.3275954430673199E-3</v>
      </c>
      <c r="N37" s="6"/>
      <c r="O37" s="6">
        <v>2.6880000000000002</v>
      </c>
      <c r="P37" s="6"/>
      <c r="R37" s="5">
        <v>245</v>
      </c>
      <c r="S37" s="6">
        <v>0.82</v>
      </c>
      <c r="T37" s="6">
        <v>4</v>
      </c>
      <c r="U37" s="6"/>
      <c r="V37" s="6"/>
      <c r="W37" s="6"/>
      <c r="X37" s="6"/>
      <c r="Y37" s="1" t="s">
        <v>662</v>
      </c>
      <c r="Z37" s="1" t="s">
        <v>669</v>
      </c>
      <c r="AA37" s="1" t="s">
        <v>670</v>
      </c>
    </row>
    <row r="38" spans="1:27" x14ac:dyDescent="0.3">
      <c r="A38" s="1" t="s">
        <v>671</v>
      </c>
      <c r="B38" s="1" t="s">
        <v>599</v>
      </c>
      <c r="F38" s="1" t="s">
        <v>600</v>
      </c>
      <c r="G38" s="1" t="s">
        <v>609</v>
      </c>
      <c r="K38" s="1" t="s">
        <v>37</v>
      </c>
      <c r="L38" s="1" t="s">
        <v>673</v>
      </c>
      <c r="M38" s="6">
        <f>EXP(1.8268)/1000</f>
        <v>6.2139701046990152E-3</v>
      </c>
      <c r="N38" s="6"/>
      <c r="O38" s="6">
        <v>2.7854000000000001</v>
      </c>
      <c r="P38" s="6"/>
      <c r="R38" s="5">
        <v>516</v>
      </c>
      <c r="S38" s="6">
        <v>0.84</v>
      </c>
      <c r="T38" s="6">
        <v>4.83</v>
      </c>
      <c r="U38" s="6"/>
      <c r="V38" s="6"/>
      <c r="W38" s="6"/>
      <c r="X38" s="6"/>
      <c r="Y38" s="1" t="s">
        <v>662</v>
      </c>
      <c r="Z38" s="1" t="s">
        <v>669</v>
      </c>
      <c r="AA38" s="1" t="s">
        <v>670</v>
      </c>
    </row>
    <row r="39" spans="1:27" x14ac:dyDescent="0.3">
      <c r="A39" s="1" t="s">
        <v>671</v>
      </c>
      <c r="B39" s="1" t="s">
        <v>599</v>
      </c>
      <c r="F39" s="1" t="s">
        <v>600</v>
      </c>
      <c r="G39" s="1" t="s">
        <v>609</v>
      </c>
      <c r="K39" s="1" t="s">
        <v>37</v>
      </c>
      <c r="L39" s="1" t="s">
        <v>673</v>
      </c>
      <c r="M39" s="6">
        <f>EXP(2.2)/1000</f>
        <v>9.0250134994341227E-3</v>
      </c>
      <c r="N39" s="6"/>
      <c r="O39" s="6">
        <v>2.63</v>
      </c>
      <c r="P39" s="6"/>
      <c r="R39" s="5"/>
      <c r="S39" s="6"/>
      <c r="T39" s="6"/>
      <c r="U39" s="6"/>
      <c r="V39" s="6"/>
      <c r="W39" s="6"/>
      <c r="X39" s="6"/>
      <c r="Y39" s="1" t="s">
        <v>665</v>
      </c>
      <c r="Z39" s="1" t="s">
        <v>669</v>
      </c>
      <c r="AA39" s="1" t="s">
        <v>670</v>
      </c>
    </row>
    <row r="40" spans="1:27" x14ac:dyDescent="0.3">
      <c r="A40" s="1" t="s">
        <v>671</v>
      </c>
      <c r="B40" s="1" t="s">
        <v>599</v>
      </c>
      <c r="F40" s="1" t="s">
        <v>600</v>
      </c>
      <c r="G40" s="1" t="s">
        <v>609</v>
      </c>
      <c r="K40" s="1" t="s">
        <v>37</v>
      </c>
      <c r="L40" s="1" t="s">
        <v>673</v>
      </c>
      <c r="M40" s="6">
        <f>EXP(2.51)/1000</f>
        <v>1.230493006051041E-2</v>
      </c>
      <c r="N40" s="6"/>
      <c r="O40" s="6">
        <v>1.8</v>
      </c>
      <c r="P40" s="6"/>
      <c r="R40" s="5"/>
      <c r="S40" s="6">
        <v>1.4</v>
      </c>
      <c r="T40" s="6">
        <v>3.6</v>
      </c>
      <c r="U40" s="6"/>
      <c r="V40" s="6"/>
      <c r="W40" s="6"/>
      <c r="X40" s="6"/>
      <c r="Y40" s="1" t="s">
        <v>666</v>
      </c>
      <c r="Z40" s="1" t="s">
        <v>669</v>
      </c>
      <c r="AA40" s="1" t="s">
        <v>670</v>
      </c>
    </row>
    <row r="41" spans="1:27" x14ac:dyDescent="0.3">
      <c r="A41" s="1" t="s">
        <v>671</v>
      </c>
      <c r="B41" s="1" t="s">
        <v>599</v>
      </c>
      <c r="F41" s="1" t="s">
        <v>600</v>
      </c>
      <c r="G41" s="1" t="s">
        <v>609</v>
      </c>
      <c r="K41" s="1" t="s">
        <v>37</v>
      </c>
      <c r="L41" s="1" t="s">
        <v>673</v>
      </c>
      <c r="M41" s="6">
        <f>EXP(2.36)/1000</f>
        <v>1.0590951452433779E-2</v>
      </c>
      <c r="N41" s="6"/>
      <c r="O41" s="6">
        <v>2.25</v>
      </c>
      <c r="P41" s="6"/>
      <c r="R41" s="5"/>
      <c r="S41" s="6"/>
      <c r="T41" s="6"/>
      <c r="U41" s="6"/>
      <c r="V41" s="6"/>
      <c r="W41" s="6"/>
      <c r="X41" s="6"/>
      <c r="Y41" s="1" t="s">
        <v>666</v>
      </c>
      <c r="Z41" s="1" t="s">
        <v>669</v>
      </c>
      <c r="AA41" s="1" t="s">
        <v>670</v>
      </c>
    </row>
    <row r="42" spans="1:27" x14ac:dyDescent="0.3">
      <c r="A42" s="1" t="s">
        <v>671</v>
      </c>
      <c r="B42" s="1" t="s">
        <v>599</v>
      </c>
      <c r="F42" s="1" t="s">
        <v>600</v>
      </c>
      <c r="G42" s="1" t="s">
        <v>609</v>
      </c>
      <c r="K42" s="1" t="s">
        <v>37</v>
      </c>
      <c r="L42" s="1" t="s">
        <v>677</v>
      </c>
      <c r="M42" s="6">
        <f>EXP(2.12)/1000</f>
        <v>8.3311374876876929E-3</v>
      </c>
      <c r="N42" s="6"/>
      <c r="O42" s="6">
        <v>2.61</v>
      </c>
      <c r="P42" s="6"/>
      <c r="R42" s="5"/>
      <c r="S42" s="6"/>
      <c r="T42" s="6"/>
      <c r="U42" s="6"/>
      <c r="V42" s="6"/>
      <c r="W42" s="6"/>
      <c r="X42" s="6"/>
      <c r="Y42" s="1" t="s">
        <v>666</v>
      </c>
      <c r="Z42" s="1" t="s">
        <v>669</v>
      </c>
      <c r="AA42" s="1" t="s">
        <v>670</v>
      </c>
    </row>
    <row r="43" spans="1:27" x14ac:dyDescent="0.3">
      <c r="A43" s="1" t="s">
        <v>671</v>
      </c>
      <c r="B43" s="1" t="s">
        <v>599</v>
      </c>
      <c r="F43" s="1" t="s">
        <v>610</v>
      </c>
      <c r="G43" s="1" t="s">
        <v>611</v>
      </c>
      <c r="K43" s="1" t="s">
        <v>37</v>
      </c>
      <c r="L43" s="1" t="s">
        <v>673</v>
      </c>
      <c r="M43" s="6">
        <f>EXP(2.5623)/1000</f>
        <v>1.2965603936852397E-2</v>
      </c>
      <c r="N43" s="6"/>
      <c r="O43" s="6">
        <v>3.3380000000000001</v>
      </c>
      <c r="P43" s="6"/>
      <c r="R43" s="5">
        <v>19</v>
      </c>
      <c r="S43" s="6">
        <v>0.3</v>
      </c>
      <c r="T43" s="6">
        <v>0.71</v>
      </c>
      <c r="U43" s="6"/>
      <c r="V43" s="6"/>
      <c r="W43" s="6"/>
      <c r="X43" s="6"/>
      <c r="Y43" s="1" t="s">
        <v>662</v>
      </c>
      <c r="Z43" s="1" t="s">
        <v>669</v>
      </c>
      <c r="AA43" s="1" t="s">
        <v>670</v>
      </c>
    </row>
    <row r="44" spans="1:27" x14ac:dyDescent="0.3">
      <c r="A44" s="1" t="s">
        <v>671</v>
      </c>
      <c r="B44" s="1" t="s">
        <v>599</v>
      </c>
      <c r="F44" s="1" t="s">
        <v>610</v>
      </c>
      <c r="G44" s="1" t="s">
        <v>611</v>
      </c>
      <c r="K44" s="1" t="s">
        <v>37</v>
      </c>
      <c r="L44" s="1" t="s">
        <v>673</v>
      </c>
      <c r="M44" s="6">
        <f>EXP(2.3466)/1000</f>
        <v>1.0449979325627383E-2</v>
      </c>
      <c r="N44" s="6"/>
      <c r="O44" s="6">
        <v>2.2599999999999998</v>
      </c>
      <c r="P44" s="6"/>
      <c r="R44" s="5"/>
      <c r="S44" s="6">
        <v>0.28000000000000003</v>
      </c>
      <c r="T44" s="6">
        <v>0.6</v>
      </c>
      <c r="U44" s="6"/>
      <c r="V44" s="6"/>
      <c r="W44" s="6"/>
      <c r="X44" s="6"/>
      <c r="Y44" s="1" t="s">
        <v>666</v>
      </c>
      <c r="Z44" s="1" t="s">
        <v>669</v>
      </c>
      <c r="AA44" s="1" t="s">
        <v>670</v>
      </c>
    </row>
    <row r="45" spans="1:27" x14ac:dyDescent="0.3">
      <c r="A45" s="1" t="s">
        <v>671</v>
      </c>
      <c r="B45" s="1" t="s">
        <v>599</v>
      </c>
      <c r="F45" s="1" t="s">
        <v>610</v>
      </c>
      <c r="G45" s="1" t="s">
        <v>611</v>
      </c>
      <c r="K45" s="1" t="s">
        <v>37</v>
      </c>
      <c r="L45" s="1" t="s">
        <v>673</v>
      </c>
      <c r="M45" s="6">
        <f>EXP(7.161)/1000</f>
        <v>1.2881984875087908</v>
      </c>
      <c r="N45" s="6"/>
      <c r="O45" s="6">
        <v>7.7220000000000004</v>
      </c>
      <c r="P45" s="6"/>
      <c r="Q45" s="4">
        <v>0.99</v>
      </c>
      <c r="R45" s="5">
        <v>23</v>
      </c>
      <c r="S45" s="6"/>
      <c r="T45" s="6"/>
      <c r="U45" s="6"/>
      <c r="V45" s="6"/>
      <c r="W45" s="6"/>
      <c r="X45" s="6"/>
      <c r="Y45" s="1" t="s">
        <v>661</v>
      </c>
      <c r="Z45" s="1" t="s">
        <v>669</v>
      </c>
      <c r="AA45" s="1" t="s">
        <v>670</v>
      </c>
    </row>
    <row r="46" spans="1:27" x14ac:dyDescent="0.3">
      <c r="A46" s="1" t="s">
        <v>671</v>
      </c>
      <c r="B46" s="1" t="s">
        <v>599</v>
      </c>
      <c r="F46" s="1" t="s">
        <v>610</v>
      </c>
      <c r="G46" s="1" t="s">
        <v>612</v>
      </c>
      <c r="K46" s="1" t="s">
        <v>37</v>
      </c>
      <c r="L46" s="1" t="s">
        <v>673</v>
      </c>
      <c r="M46" s="6">
        <f>EXP(2.83)/1000</f>
        <v>1.6945460824541018E-2</v>
      </c>
      <c r="N46" s="6"/>
      <c r="O46" s="6">
        <v>3.15</v>
      </c>
      <c r="P46" s="6"/>
      <c r="Q46" s="4">
        <v>0.9</v>
      </c>
      <c r="R46" s="5"/>
      <c r="S46" s="6"/>
      <c r="T46" s="6"/>
      <c r="U46" s="6"/>
      <c r="V46" s="6"/>
      <c r="W46" s="6"/>
      <c r="X46" s="6"/>
      <c r="Y46" s="1" t="s">
        <v>660</v>
      </c>
      <c r="Z46" s="1" t="s">
        <v>669</v>
      </c>
      <c r="AA46" s="1" t="s">
        <v>670</v>
      </c>
    </row>
    <row r="47" spans="1:27" x14ac:dyDescent="0.3">
      <c r="A47" s="1" t="s">
        <v>671</v>
      </c>
      <c r="B47" s="1" t="s">
        <v>599</v>
      </c>
      <c r="F47" s="1" t="s">
        <v>610</v>
      </c>
      <c r="G47" s="1" t="s">
        <v>612</v>
      </c>
      <c r="K47" s="1" t="s">
        <v>37</v>
      </c>
      <c r="L47" s="1" t="s">
        <v>673</v>
      </c>
      <c r="M47" s="6">
        <f>EXP(3.0727)/1000</f>
        <v>2.1600144403176116E-2</v>
      </c>
      <c r="N47" s="6"/>
      <c r="O47" s="6">
        <v>3.29</v>
      </c>
      <c r="P47" s="6"/>
      <c r="Q47" s="4">
        <v>0.96</v>
      </c>
      <c r="R47" s="5"/>
      <c r="S47" s="6"/>
      <c r="T47" s="6"/>
      <c r="U47" s="6"/>
      <c r="V47" s="6"/>
      <c r="W47" s="6"/>
      <c r="X47" s="6"/>
      <c r="Y47" s="1" t="s">
        <v>664</v>
      </c>
      <c r="Z47" s="1" t="s">
        <v>669</v>
      </c>
      <c r="AA47" s="1" t="s">
        <v>670</v>
      </c>
    </row>
    <row r="48" spans="1:27" x14ac:dyDescent="0.3">
      <c r="A48" s="1" t="s">
        <v>671</v>
      </c>
      <c r="B48" s="1" t="s">
        <v>599</v>
      </c>
      <c r="F48" s="1" t="s">
        <v>610</v>
      </c>
      <c r="G48" s="1" t="s">
        <v>612</v>
      </c>
      <c r="K48" s="1" t="s">
        <v>37</v>
      </c>
      <c r="L48" s="1" t="s">
        <v>673</v>
      </c>
      <c r="M48" s="6">
        <f>EXP(1.9148)/1000</f>
        <v>6.7855815449696395E-3</v>
      </c>
      <c r="N48" s="6"/>
      <c r="O48" s="6">
        <v>2.02</v>
      </c>
      <c r="P48" s="6"/>
      <c r="R48" s="5"/>
      <c r="S48" s="6"/>
      <c r="T48" s="6"/>
      <c r="U48" s="6"/>
      <c r="V48" s="6"/>
      <c r="W48" s="6"/>
      <c r="X48" s="6"/>
      <c r="Y48" s="1" t="s">
        <v>666</v>
      </c>
      <c r="Z48" s="1" t="s">
        <v>669</v>
      </c>
      <c r="AA48" s="1" t="s">
        <v>670</v>
      </c>
    </row>
    <row r="49" spans="1:27" x14ac:dyDescent="0.3">
      <c r="A49" s="1" t="s">
        <v>671</v>
      </c>
      <c r="B49" s="1" t="s">
        <v>599</v>
      </c>
      <c r="F49" s="1" t="s">
        <v>613</v>
      </c>
      <c r="G49" s="1" t="s">
        <v>614</v>
      </c>
      <c r="K49" s="1" t="s">
        <v>37</v>
      </c>
      <c r="L49" s="1" t="s">
        <v>675</v>
      </c>
      <c r="M49" s="6">
        <f>EXP(5.3976)/1000</f>
        <v>0.22087567794596119</v>
      </c>
      <c r="N49" s="6"/>
      <c r="O49" s="6">
        <v>2.0554999999999999</v>
      </c>
      <c r="P49" s="6"/>
      <c r="R49" s="5">
        <v>8</v>
      </c>
      <c r="S49" s="6">
        <v>0.08</v>
      </c>
      <c r="T49" s="6">
        <v>0.43</v>
      </c>
      <c r="U49" s="6"/>
      <c r="V49" s="6"/>
      <c r="W49" s="6"/>
      <c r="X49" s="6"/>
      <c r="Y49" s="1" t="s">
        <v>662</v>
      </c>
      <c r="Z49" s="1" t="s">
        <v>669</v>
      </c>
      <c r="AA49" s="1" t="s">
        <v>670</v>
      </c>
    </row>
    <row r="50" spans="1:27" x14ac:dyDescent="0.3">
      <c r="A50" s="1" t="s">
        <v>671</v>
      </c>
      <c r="B50" s="1" t="s">
        <v>599</v>
      </c>
      <c r="F50" s="1" t="s">
        <v>613</v>
      </c>
      <c r="G50" s="1" t="s">
        <v>614</v>
      </c>
      <c r="K50" s="1" t="s">
        <v>37</v>
      </c>
      <c r="L50" s="1" t="s">
        <v>675</v>
      </c>
      <c r="M50" s="6">
        <f>EXP(6.4957)/1000</f>
        <v>0.66228766445223286</v>
      </c>
      <c r="N50" s="6"/>
      <c r="O50" s="6">
        <v>3.19</v>
      </c>
      <c r="P50" s="6"/>
      <c r="Q50" s="4">
        <v>0.87</v>
      </c>
      <c r="R50" s="5">
        <v>142</v>
      </c>
      <c r="S50" s="6">
        <v>3.01</v>
      </c>
      <c r="T50" s="6">
        <v>3.37</v>
      </c>
      <c r="U50" s="6"/>
      <c r="V50" s="6"/>
      <c r="W50" s="6"/>
      <c r="X50" s="6"/>
      <c r="Y50" s="1" t="s">
        <v>663</v>
      </c>
      <c r="Z50" s="1" t="s">
        <v>669</v>
      </c>
      <c r="AA50" s="1" t="s">
        <v>670</v>
      </c>
    </row>
    <row r="51" spans="1:27" x14ac:dyDescent="0.3">
      <c r="A51" s="1" t="s">
        <v>671</v>
      </c>
      <c r="B51" s="1" t="s">
        <v>599</v>
      </c>
      <c r="F51" s="1" t="s">
        <v>613</v>
      </c>
      <c r="G51" s="1" t="s">
        <v>614</v>
      </c>
      <c r="K51" s="1" t="s">
        <v>37</v>
      </c>
      <c r="L51" s="1" t="s">
        <v>675</v>
      </c>
      <c r="M51" s="6">
        <f>EXP(6.2625)/1000</f>
        <v>0.52452862388085997</v>
      </c>
      <c r="N51" s="6"/>
      <c r="O51" s="6">
        <v>3.052</v>
      </c>
      <c r="P51" s="6"/>
      <c r="Q51" s="4">
        <v>0.94</v>
      </c>
      <c r="R51" s="5">
        <v>107</v>
      </c>
      <c r="S51" s="6"/>
      <c r="T51" s="6"/>
      <c r="U51" s="6"/>
      <c r="V51" s="6"/>
      <c r="W51" s="6"/>
      <c r="X51" s="6"/>
      <c r="Y51" s="1" t="s">
        <v>663</v>
      </c>
      <c r="Z51" s="1" t="s">
        <v>669</v>
      </c>
      <c r="AA51" s="1" t="s">
        <v>670</v>
      </c>
    </row>
    <row r="52" spans="1:27" x14ac:dyDescent="0.3">
      <c r="A52" s="1" t="s">
        <v>671</v>
      </c>
      <c r="B52" s="1" t="s">
        <v>599</v>
      </c>
      <c r="F52" s="1" t="s">
        <v>615</v>
      </c>
      <c r="G52" s="1" t="s">
        <v>616</v>
      </c>
      <c r="K52" s="1" t="s">
        <v>37</v>
      </c>
      <c r="L52" s="1" t="s">
        <v>673</v>
      </c>
      <c r="M52" s="6">
        <f>EXP(1.2894)/1000</f>
        <v>3.6306075375901773E-3</v>
      </c>
      <c r="N52" s="6"/>
      <c r="O52" s="6">
        <v>3.0390000000000001</v>
      </c>
      <c r="P52" s="6"/>
      <c r="Q52" s="4">
        <v>0.91</v>
      </c>
      <c r="R52" s="5"/>
      <c r="S52" s="6">
        <v>0.4</v>
      </c>
      <c r="T52" s="6">
        <v>1.2</v>
      </c>
      <c r="U52" s="6"/>
      <c r="V52" s="6"/>
      <c r="W52" s="6"/>
      <c r="X52" s="6"/>
      <c r="Y52" s="1" t="s">
        <v>661</v>
      </c>
      <c r="Z52" s="1" t="s">
        <v>669</v>
      </c>
      <c r="AA52" s="1" t="s">
        <v>670</v>
      </c>
    </row>
    <row r="53" spans="1:27" x14ac:dyDescent="0.3">
      <c r="A53" s="1" t="s">
        <v>671</v>
      </c>
      <c r="B53" s="1" t="s">
        <v>599</v>
      </c>
      <c r="F53" s="1" t="s">
        <v>615</v>
      </c>
      <c r="G53" s="1" t="s">
        <v>616</v>
      </c>
      <c r="K53" s="1" t="s">
        <v>37</v>
      </c>
      <c r="L53" s="1" t="s">
        <v>673</v>
      </c>
      <c r="M53" s="6">
        <f>EXP(1.3252)/1000</f>
        <v>3.7629378673196337E-3</v>
      </c>
      <c r="N53" s="6"/>
      <c r="O53" s="6">
        <v>2.11</v>
      </c>
      <c r="P53" s="6"/>
      <c r="R53" s="5"/>
      <c r="S53" s="6"/>
      <c r="T53" s="6"/>
      <c r="U53" s="6"/>
      <c r="V53" s="6"/>
      <c r="W53" s="6"/>
      <c r="X53" s="6"/>
      <c r="Y53" s="1" t="s">
        <v>666</v>
      </c>
      <c r="Z53" s="1" t="s">
        <v>669</v>
      </c>
      <c r="AA53" s="1" t="s">
        <v>670</v>
      </c>
    </row>
    <row r="54" spans="1:27" x14ac:dyDescent="0.3">
      <c r="A54" s="1" t="s">
        <v>671</v>
      </c>
      <c r="B54" s="1" t="s">
        <v>599</v>
      </c>
      <c r="F54" s="1" t="s">
        <v>615</v>
      </c>
      <c r="G54" s="1" t="s">
        <v>616</v>
      </c>
      <c r="K54" s="1" t="s">
        <v>37</v>
      </c>
      <c r="L54" s="1" t="s">
        <v>673</v>
      </c>
      <c r="M54" s="6">
        <f>EXP(1.6242)/1000</f>
        <v>5.0743579266111574E-3</v>
      </c>
      <c r="N54" s="6"/>
      <c r="O54" s="6">
        <v>3.0468000000000002</v>
      </c>
      <c r="P54" s="6"/>
      <c r="R54" s="5">
        <v>106</v>
      </c>
      <c r="S54" s="6">
        <v>0.44</v>
      </c>
      <c r="T54" s="6">
        <v>1.44</v>
      </c>
      <c r="U54" s="6"/>
      <c r="V54" s="6"/>
      <c r="W54" s="6"/>
      <c r="X54" s="6"/>
      <c r="Y54" s="1" t="s">
        <v>662</v>
      </c>
      <c r="Z54" s="1" t="s">
        <v>669</v>
      </c>
      <c r="AA54" s="1" t="s">
        <v>670</v>
      </c>
    </row>
    <row r="55" spans="1:27" x14ac:dyDescent="0.3">
      <c r="A55" s="1" t="s">
        <v>671</v>
      </c>
      <c r="B55" s="1" t="s">
        <v>599</v>
      </c>
      <c r="F55" s="1" t="s">
        <v>617</v>
      </c>
      <c r="G55" s="1" t="s">
        <v>618</v>
      </c>
      <c r="K55" s="1" t="s">
        <v>37</v>
      </c>
      <c r="L55" s="1" t="s">
        <v>673</v>
      </c>
      <c r="M55" s="6">
        <f>EXP(2.7116)/1000</f>
        <v>1.505334160343595E-2</v>
      </c>
      <c r="O55" s="6">
        <v>2.5293999999999999</v>
      </c>
      <c r="P55" s="6"/>
      <c r="R55" s="5">
        <v>17</v>
      </c>
      <c r="S55" s="6">
        <v>0.28000000000000003</v>
      </c>
      <c r="T55" s="6">
        <v>0.54</v>
      </c>
      <c r="U55" s="6"/>
      <c r="V55" s="6"/>
      <c r="W55" s="6"/>
      <c r="X55" s="6"/>
      <c r="Y55" s="1" t="s">
        <v>662</v>
      </c>
      <c r="Z55" s="1" t="s">
        <v>669</v>
      </c>
      <c r="AA55" s="1" t="s">
        <v>670</v>
      </c>
    </row>
    <row r="56" spans="1:27" x14ac:dyDescent="0.3">
      <c r="A56" s="1" t="s">
        <v>671</v>
      </c>
      <c r="B56" s="1" t="s">
        <v>599</v>
      </c>
      <c r="F56" s="1" t="s">
        <v>617</v>
      </c>
      <c r="G56" s="1" t="s">
        <v>618</v>
      </c>
      <c r="K56" s="1" t="s">
        <v>37</v>
      </c>
      <c r="L56" s="1" t="s">
        <v>673</v>
      </c>
      <c r="M56" s="6">
        <f>EXP(3.28)/1000</f>
        <v>2.6575772699873955E-2</v>
      </c>
      <c r="N56" s="6"/>
      <c r="O56" s="6">
        <v>3.13</v>
      </c>
      <c r="P56" s="6"/>
      <c r="R56" s="5"/>
      <c r="S56" s="6"/>
      <c r="T56" s="6"/>
      <c r="U56" s="6"/>
      <c r="V56" s="6"/>
      <c r="W56" s="6"/>
      <c r="X56" s="6"/>
      <c r="Y56" s="1" t="s">
        <v>662</v>
      </c>
      <c r="Z56" s="1" t="s">
        <v>669</v>
      </c>
      <c r="AA56" s="1" t="s">
        <v>670</v>
      </c>
    </row>
    <row r="57" spans="1:27" x14ac:dyDescent="0.3">
      <c r="A57" s="1" t="s">
        <v>671</v>
      </c>
      <c r="B57" s="1" t="s">
        <v>599</v>
      </c>
      <c r="F57" s="1" t="s">
        <v>617</v>
      </c>
      <c r="G57" s="1" t="s">
        <v>618</v>
      </c>
      <c r="K57" s="1" t="s">
        <v>37</v>
      </c>
      <c r="L57" s="1" t="s">
        <v>678</v>
      </c>
      <c r="M57" s="6">
        <f>EXP(4.68)/1000</f>
        <v>0.10777007257140046</v>
      </c>
      <c r="O57" s="6">
        <v>4.2699999999999996</v>
      </c>
      <c r="P57" s="6"/>
      <c r="R57" s="5"/>
      <c r="S57" s="6"/>
      <c r="T57" s="6"/>
      <c r="U57" s="6"/>
      <c r="V57" s="6"/>
      <c r="W57" s="6"/>
      <c r="X57" s="6"/>
      <c r="Y57" s="1" t="s">
        <v>662</v>
      </c>
      <c r="Z57" s="1" t="s">
        <v>669</v>
      </c>
      <c r="AA57" s="1" t="s">
        <v>670</v>
      </c>
    </row>
    <row r="58" spans="1:27" x14ac:dyDescent="0.3">
      <c r="A58" s="1" t="s">
        <v>671</v>
      </c>
      <c r="B58" s="1" t="s">
        <v>599</v>
      </c>
      <c r="F58" s="1" t="s">
        <v>617</v>
      </c>
      <c r="G58" s="1" t="s">
        <v>618</v>
      </c>
      <c r="K58" s="1" t="s">
        <v>37</v>
      </c>
      <c r="L58" s="1" t="s">
        <v>673</v>
      </c>
      <c r="M58" s="6">
        <f>EXP(4.9344)/1000</f>
        <v>0.13898972367471898</v>
      </c>
      <c r="N58" s="6"/>
      <c r="O58" s="6">
        <v>4.8490000000000002</v>
      </c>
      <c r="P58" s="6"/>
      <c r="Q58" s="4">
        <v>0.99</v>
      </c>
      <c r="R58" s="5"/>
      <c r="S58" s="6">
        <v>0.2</v>
      </c>
      <c r="T58" s="6">
        <v>0.5</v>
      </c>
      <c r="U58" s="6"/>
      <c r="V58" s="6"/>
      <c r="W58" s="6"/>
      <c r="X58" s="6"/>
      <c r="Y58" s="1" t="s">
        <v>661</v>
      </c>
      <c r="Z58" s="1" t="s">
        <v>669</v>
      </c>
      <c r="AA58" s="1" t="s">
        <v>670</v>
      </c>
    </row>
    <row r="59" spans="1:27" x14ac:dyDescent="0.3">
      <c r="A59" s="1" t="s">
        <v>671</v>
      </c>
      <c r="B59" s="1" t="s">
        <v>599</v>
      </c>
      <c r="F59" s="1" t="s">
        <v>617</v>
      </c>
      <c r="G59" s="1" t="s">
        <v>603</v>
      </c>
      <c r="K59" s="1" t="s">
        <v>37</v>
      </c>
      <c r="L59" s="1" t="s">
        <v>673</v>
      </c>
      <c r="M59" s="6">
        <f>EXP(2.7312)/1000</f>
        <v>1.5351297528426932E-2</v>
      </c>
      <c r="N59" s="6"/>
      <c r="O59" s="6">
        <v>2.0665</v>
      </c>
      <c r="P59" s="6"/>
      <c r="R59" s="5">
        <v>26</v>
      </c>
      <c r="S59" s="6">
        <v>0.44</v>
      </c>
      <c r="T59" s="6">
        <v>0.95</v>
      </c>
      <c r="U59" s="6"/>
      <c r="V59" s="6"/>
      <c r="W59" s="6"/>
      <c r="X59" s="6"/>
      <c r="Y59" s="1" t="s">
        <v>662</v>
      </c>
      <c r="Z59" s="1" t="s">
        <v>669</v>
      </c>
      <c r="AA59" s="1" t="s">
        <v>670</v>
      </c>
    </row>
    <row r="60" spans="1:27" x14ac:dyDescent="0.3">
      <c r="A60" s="1" t="s">
        <v>671</v>
      </c>
      <c r="B60" s="1" t="s">
        <v>599</v>
      </c>
      <c r="F60" s="1" t="s">
        <v>617</v>
      </c>
      <c r="G60" s="1" t="s">
        <v>603</v>
      </c>
      <c r="K60" s="1" t="s">
        <v>37</v>
      </c>
      <c r="L60" s="1" t="s">
        <v>673</v>
      </c>
      <c r="M60" s="6">
        <f>EXP(3.5274)/1000</f>
        <v>3.4035360538071012E-2</v>
      </c>
      <c r="N60" s="6"/>
      <c r="O60" s="6">
        <v>3.5859000000000001</v>
      </c>
      <c r="P60" s="6"/>
      <c r="R60" s="5">
        <v>34</v>
      </c>
      <c r="S60" s="6">
        <v>0.38</v>
      </c>
      <c r="T60" s="6">
        <v>0.5</v>
      </c>
      <c r="U60" s="6"/>
      <c r="V60" s="6"/>
      <c r="W60" s="6"/>
      <c r="X60" s="6"/>
      <c r="Y60" s="1" t="s">
        <v>662</v>
      </c>
      <c r="Z60" s="1" t="s">
        <v>669</v>
      </c>
      <c r="AA60" s="1" t="s">
        <v>670</v>
      </c>
    </row>
    <row r="61" spans="1:27" x14ac:dyDescent="0.3">
      <c r="A61" s="1" t="s">
        <v>671</v>
      </c>
      <c r="B61" s="1" t="s">
        <v>599</v>
      </c>
      <c r="F61" s="1" t="s">
        <v>617</v>
      </c>
      <c r="G61" s="1" t="s">
        <v>619</v>
      </c>
      <c r="K61" s="1" t="s">
        <v>37</v>
      </c>
      <c r="L61" s="1" t="s">
        <v>673</v>
      </c>
      <c r="M61" s="6">
        <f>EXP(3.2359)/1000</f>
        <v>2.5429247806117453E-2</v>
      </c>
      <c r="N61" s="6"/>
      <c r="O61" s="6">
        <v>2.9279999999999999</v>
      </c>
      <c r="P61" s="6"/>
      <c r="Q61" s="4">
        <v>0.9</v>
      </c>
      <c r="R61" s="5">
        <v>108</v>
      </c>
      <c r="S61" s="6">
        <v>2.64</v>
      </c>
      <c r="T61" s="6">
        <v>3.22</v>
      </c>
      <c r="U61" s="6"/>
      <c r="V61" s="6"/>
      <c r="W61" s="6"/>
      <c r="X61" s="6"/>
      <c r="Y61" s="1" t="s">
        <v>663</v>
      </c>
      <c r="Z61" s="1" t="s">
        <v>669</v>
      </c>
      <c r="AA61" s="1" t="s">
        <v>670</v>
      </c>
    </row>
    <row r="62" spans="1:27" x14ac:dyDescent="0.3">
      <c r="A62" s="1" t="s">
        <v>671</v>
      </c>
      <c r="B62" s="1" t="s">
        <v>599</v>
      </c>
      <c r="F62" s="1" t="s">
        <v>617</v>
      </c>
      <c r="G62" s="1" t="s">
        <v>620</v>
      </c>
      <c r="K62" s="1" t="s">
        <v>37</v>
      </c>
      <c r="L62" s="1" t="s">
        <v>673</v>
      </c>
      <c r="M62" s="6">
        <f>EXP(2.7839)/1000</f>
        <v>1.6182007874395363E-2</v>
      </c>
      <c r="N62" s="6"/>
      <c r="O62" s="6">
        <v>2.5049999999999999</v>
      </c>
      <c r="P62" s="6"/>
      <c r="Q62" s="4">
        <v>0.9</v>
      </c>
      <c r="R62" s="5">
        <v>84</v>
      </c>
      <c r="S62" s="6"/>
      <c r="T62" s="6"/>
      <c r="U62" s="6"/>
      <c r="V62" s="6"/>
      <c r="W62" s="6"/>
      <c r="X62" s="6"/>
      <c r="Y62" s="1" t="s">
        <v>663</v>
      </c>
      <c r="Z62" s="1" t="s">
        <v>669</v>
      </c>
      <c r="AA62" s="1" t="s">
        <v>670</v>
      </c>
    </row>
    <row r="63" spans="1:27" x14ac:dyDescent="0.3">
      <c r="A63" s="1" t="s">
        <v>671</v>
      </c>
      <c r="B63" s="1" t="s">
        <v>599</v>
      </c>
      <c r="F63" s="1" t="s">
        <v>621</v>
      </c>
      <c r="G63" s="1" t="s">
        <v>622</v>
      </c>
      <c r="K63" s="1" t="s">
        <v>37</v>
      </c>
      <c r="L63" s="1" t="s">
        <v>673</v>
      </c>
      <c r="M63" s="6">
        <f>EXP(4.543)/1000</f>
        <v>9.3972294550357938E-2</v>
      </c>
      <c r="O63" s="6">
        <v>3.6360000000000001</v>
      </c>
      <c r="P63" s="6"/>
      <c r="Q63" s="4">
        <v>0.97</v>
      </c>
      <c r="R63" s="5"/>
      <c r="S63" s="6">
        <v>0.2</v>
      </c>
      <c r="T63" s="6">
        <v>0.4</v>
      </c>
      <c r="U63" s="6"/>
      <c r="V63" s="6"/>
      <c r="W63" s="6"/>
      <c r="X63" s="6"/>
      <c r="Y63" s="1" t="s">
        <v>661</v>
      </c>
      <c r="Z63" s="1" t="s">
        <v>669</v>
      </c>
      <c r="AA63" s="1" t="s">
        <v>670</v>
      </c>
    </row>
    <row r="64" spans="1:27" x14ac:dyDescent="0.3">
      <c r="A64" s="1" t="s">
        <v>671</v>
      </c>
      <c r="B64" s="1" t="s">
        <v>599</v>
      </c>
      <c r="F64" s="1" t="s">
        <v>621</v>
      </c>
      <c r="G64" s="1" t="s">
        <v>622</v>
      </c>
      <c r="K64" s="1" t="s">
        <v>37</v>
      </c>
      <c r="L64" s="1" t="s">
        <v>673</v>
      </c>
      <c r="M64" s="6">
        <f>EXP(4.4935)/1000</f>
        <v>8.9433917445494601E-2</v>
      </c>
      <c r="O64" s="6">
        <v>3.93</v>
      </c>
      <c r="P64" s="6"/>
      <c r="R64" s="5"/>
      <c r="S64" s="6"/>
      <c r="T64" s="6"/>
      <c r="U64" s="6"/>
      <c r="V64" s="6"/>
      <c r="W64" s="6"/>
      <c r="X64" s="6"/>
      <c r="Y64" s="1" t="s">
        <v>666</v>
      </c>
      <c r="Z64" s="1" t="s">
        <v>669</v>
      </c>
      <c r="AA64" s="1" t="s">
        <v>670</v>
      </c>
    </row>
    <row r="65" spans="1:27" x14ac:dyDescent="0.3">
      <c r="A65" s="1" t="s">
        <v>671</v>
      </c>
      <c r="B65" s="1" t="s">
        <v>599</v>
      </c>
      <c r="F65" s="1" t="s">
        <v>621</v>
      </c>
      <c r="G65" s="1" t="s">
        <v>622</v>
      </c>
      <c r="K65" s="1" t="s">
        <v>37</v>
      </c>
      <c r="L65" s="1" t="s">
        <v>673</v>
      </c>
      <c r="M65" s="6">
        <f>EXP(4.8211)/1000</f>
        <v>0.12410152740606883</v>
      </c>
      <c r="N65" s="6"/>
      <c r="O65" s="6">
        <v>4.08</v>
      </c>
      <c r="P65" s="6"/>
      <c r="R65" s="5"/>
      <c r="S65" s="6"/>
      <c r="T65" s="6"/>
      <c r="U65" s="6"/>
      <c r="V65" s="6"/>
      <c r="W65" s="6"/>
      <c r="X65" s="6"/>
      <c r="Y65" s="1" t="s">
        <v>666</v>
      </c>
      <c r="Z65" s="1" t="s">
        <v>669</v>
      </c>
      <c r="AA65" s="1" t="s">
        <v>670</v>
      </c>
    </row>
    <row r="66" spans="1:27" x14ac:dyDescent="0.3">
      <c r="A66" s="1" t="s">
        <v>671</v>
      </c>
      <c r="B66" s="1" t="s">
        <v>599</v>
      </c>
      <c r="F66" s="1" t="s">
        <v>623</v>
      </c>
      <c r="G66" s="1" t="s">
        <v>624</v>
      </c>
      <c r="K66" s="1" t="s">
        <v>37</v>
      </c>
      <c r="L66" s="1" t="s">
        <v>673</v>
      </c>
      <c r="M66" s="6">
        <f>EXP(-0.822)/1000</f>
        <v>4.3955167147334762E-4</v>
      </c>
      <c r="N66" s="6"/>
      <c r="O66" s="6">
        <v>2.67</v>
      </c>
      <c r="P66" s="6"/>
      <c r="Q66" s="4">
        <v>0.97</v>
      </c>
      <c r="R66" s="19">
        <v>10</v>
      </c>
      <c r="S66" s="6">
        <v>1</v>
      </c>
      <c r="T66" s="6">
        <v>5</v>
      </c>
      <c r="U66" s="6"/>
      <c r="V66" s="6"/>
      <c r="W66" s="6"/>
      <c r="X66" s="6"/>
      <c r="Y66" s="1" t="s">
        <v>661</v>
      </c>
      <c r="Z66" s="1" t="s">
        <v>669</v>
      </c>
      <c r="AA66" s="1" t="s">
        <v>670</v>
      </c>
    </row>
    <row r="67" spans="1:27" x14ac:dyDescent="0.3">
      <c r="A67" s="1" t="s">
        <v>671</v>
      </c>
      <c r="B67" s="1" t="s">
        <v>599</v>
      </c>
      <c r="F67" s="1" t="s">
        <v>625</v>
      </c>
      <c r="G67" s="1" t="s">
        <v>626</v>
      </c>
      <c r="K67" s="1" t="s">
        <v>37</v>
      </c>
      <c r="L67" s="1" t="s">
        <v>673</v>
      </c>
      <c r="M67" s="6">
        <f>EXP(2.7792)/1000</f>
        <v>1.6106130887980612E-2</v>
      </c>
      <c r="N67" s="6"/>
      <c r="O67" s="6">
        <v>2.1520000000000001</v>
      </c>
      <c r="P67" s="6"/>
      <c r="Q67" s="4">
        <v>0.98</v>
      </c>
      <c r="R67" s="5">
        <v>25</v>
      </c>
      <c r="S67" s="6">
        <v>0.3</v>
      </c>
      <c r="T67" s="6">
        <v>1.1000000000000001</v>
      </c>
      <c r="U67" s="6"/>
      <c r="V67" s="6"/>
      <c r="W67" s="6"/>
      <c r="X67" s="6"/>
      <c r="Y67" s="1" t="s">
        <v>661</v>
      </c>
      <c r="Z67" s="1" t="s">
        <v>669</v>
      </c>
      <c r="AA67" s="1" t="s">
        <v>670</v>
      </c>
    </row>
    <row r="68" spans="1:27" x14ac:dyDescent="0.3">
      <c r="A68" s="1" t="s">
        <v>671</v>
      </c>
      <c r="B68" s="1" t="s">
        <v>599</v>
      </c>
      <c r="F68" s="1" t="s">
        <v>627</v>
      </c>
      <c r="G68" s="1" t="s">
        <v>628</v>
      </c>
      <c r="K68" s="1" t="s">
        <v>37</v>
      </c>
      <c r="L68" s="1" t="s">
        <v>673</v>
      </c>
      <c r="M68" s="6">
        <f>EXP(2.0539)/1000</f>
        <v>7.7982550723815717E-3</v>
      </c>
      <c r="N68" s="6"/>
      <c r="O68" s="6">
        <v>2.1890000000000001</v>
      </c>
      <c r="P68" s="6"/>
      <c r="Q68" s="4">
        <v>0.9</v>
      </c>
      <c r="R68" s="5">
        <v>25</v>
      </c>
      <c r="S68" s="6">
        <v>0.8</v>
      </c>
      <c r="T68" s="6">
        <v>2.2999999999999998</v>
      </c>
      <c r="U68" s="6"/>
      <c r="V68" s="6"/>
      <c r="W68" s="6"/>
      <c r="X68" s="6"/>
      <c r="Y68" s="1" t="s">
        <v>661</v>
      </c>
      <c r="Z68" s="1" t="s">
        <v>669</v>
      </c>
      <c r="AA68" s="1" t="s">
        <v>670</v>
      </c>
    </row>
    <row r="69" spans="1:27" x14ac:dyDescent="0.3">
      <c r="A69" s="1" t="s">
        <v>671</v>
      </c>
      <c r="B69" s="1" t="s">
        <v>599</v>
      </c>
      <c r="F69" s="1" t="s">
        <v>629</v>
      </c>
      <c r="G69" s="1" t="s">
        <v>630</v>
      </c>
      <c r="K69" s="1" t="s">
        <v>37</v>
      </c>
      <c r="L69" s="1" t="s">
        <v>673</v>
      </c>
      <c r="M69" s="6">
        <f>EXP(2.8713)/1000</f>
        <v>1.7659961233237677E-2</v>
      </c>
      <c r="N69" s="6"/>
      <c r="O69" s="6">
        <v>3.0790000000000002</v>
      </c>
      <c r="P69" s="6"/>
      <c r="Q69" s="4">
        <v>0.99</v>
      </c>
      <c r="R69" s="5">
        <v>25</v>
      </c>
      <c r="S69" s="6">
        <v>0.3</v>
      </c>
      <c r="T69" s="6">
        <v>0.8</v>
      </c>
      <c r="U69" s="6"/>
      <c r="V69" s="6"/>
      <c r="W69" s="6"/>
      <c r="X69" s="6"/>
      <c r="Y69" s="1" t="s">
        <v>661</v>
      </c>
      <c r="Z69" s="1" t="s">
        <v>669</v>
      </c>
      <c r="AA69" s="1" t="s">
        <v>670</v>
      </c>
    </row>
    <row r="70" spans="1:27" x14ac:dyDescent="0.3">
      <c r="A70" s="1" t="s">
        <v>671</v>
      </c>
      <c r="B70" s="1" t="s">
        <v>599</v>
      </c>
      <c r="F70" s="1" t="s">
        <v>631</v>
      </c>
      <c r="G70" s="1" t="s">
        <v>632</v>
      </c>
      <c r="K70" s="1" t="s">
        <v>37</v>
      </c>
      <c r="L70" s="1" t="s">
        <v>673</v>
      </c>
      <c r="M70" s="6">
        <f>EXP(5.9913)/1000</f>
        <v>0.3999341865716603</v>
      </c>
      <c r="N70" s="6"/>
      <c r="O70" s="6">
        <v>7.9420000000000002</v>
      </c>
      <c r="P70" s="6"/>
      <c r="Q70" s="4">
        <v>0.98</v>
      </c>
      <c r="R70" s="5">
        <v>25</v>
      </c>
      <c r="S70" s="6">
        <v>0.3</v>
      </c>
      <c r="T70" s="6">
        <v>0.6</v>
      </c>
      <c r="U70" s="6"/>
      <c r="V70" s="6"/>
      <c r="W70" s="6"/>
      <c r="X70" s="6"/>
      <c r="Y70" s="1" t="s">
        <v>661</v>
      </c>
      <c r="Z70" s="1" t="s">
        <v>669</v>
      </c>
      <c r="AA70" s="1" t="s">
        <v>670</v>
      </c>
    </row>
    <row r="71" spans="1:27" x14ac:dyDescent="0.3">
      <c r="A71" s="1" t="s">
        <v>671</v>
      </c>
      <c r="B71" s="1" t="s">
        <v>599</v>
      </c>
      <c r="F71" s="1" t="s">
        <v>633</v>
      </c>
      <c r="G71" s="1" t="s">
        <v>634</v>
      </c>
      <c r="K71" s="1" t="s">
        <v>37</v>
      </c>
      <c r="L71" s="1" t="s">
        <v>673</v>
      </c>
      <c r="M71" s="6">
        <f>EXP(3.5276)/1000</f>
        <v>3.4042168290931214E-2</v>
      </c>
      <c r="O71" s="6">
        <v>3.2639999999999998</v>
      </c>
      <c r="P71" s="6"/>
      <c r="Q71" s="4">
        <v>0.99</v>
      </c>
      <c r="R71" s="5">
        <v>25</v>
      </c>
      <c r="S71" s="6">
        <v>0.3</v>
      </c>
      <c r="T71" s="6">
        <v>0.5</v>
      </c>
      <c r="U71" s="6"/>
      <c r="V71" s="6"/>
      <c r="W71" s="6"/>
      <c r="X71" s="6"/>
      <c r="Y71" s="1" t="s">
        <v>661</v>
      </c>
      <c r="Z71" s="1" t="s">
        <v>669</v>
      </c>
      <c r="AA71" s="1" t="s">
        <v>670</v>
      </c>
    </row>
    <row r="72" spans="1:27" x14ac:dyDescent="0.3">
      <c r="A72" s="1" t="s">
        <v>73</v>
      </c>
      <c r="B72" s="1" t="s">
        <v>337</v>
      </c>
      <c r="D72" s="1" t="s">
        <v>338</v>
      </c>
      <c r="F72" s="1" t="s">
        <v>359</v>
      </c>
      <c r="G72" s="1" t="s">
        <v>339</v>
      </c>
      <c r="K72" s="1" t="s">
        <v>37</v>
      </c>
      <c r="M72" s="3">
        <v>3.9199999999999999E-2</v>
      </c>
      <c r="N72" s="3">
        <v>1.32E-2</v>
      </c>
      <c r="O72" s="3">
        <v>3.1110000000000002</v>
      </c>
      <c r="P72" s="3">
        <v>0.152</v>
      </c>
      <c r="Q72" s="4">
        <v>0.96</v>
      </c>
      <c r="R72" s="5">
        <v>18</v>
      </c>
      <c r="S72" s="2">
        <v>0.9</v>
      </c>
      <c r="T72" s="2">
        <v>4.0999999999999996</v>
      </c>
      <c r="U72" s="6">
        <v>7.1</v>
      </c>
      <c r="V72" s="6">
        <v>0.3</v>
      </c>
      <c r="W72" s="6" t="s">
        <v>91</v>
      </c>
      <c r="X72" s="1" t="s">
        <v>451</v>
      </c>
      <c r="Y72" s="1" t="s">
        <v>11</v>
      </c>
      <c r="Z72" s="1" t="s">
        <v>284</v>
      </c>
      <c r="AA72" s="6" t="s">
        <v>361</v>
      </c>
    </row>
    <row r="73" spans="1:27" x14ac:dyDescent="0.3">
      <c r="A73" s="1" t="s">
        <v>73</v>
      </c>
      <c r="B73" s="1" t="s">
        <v>337</v>
      </c>
      <c r="D73" s="1" t="s">
        <v>340</v>
      </c>
      <c r="F73" s="1" t="s">
        <v>341</v>
      </c>
      <c r="K73" s="1" t="s">
        <v>37</v>
      </c>
      <c r="M73" s="3">
        <v>6.1800000000000001E-2</v>
      </c>
      <c r="N73" s="3">
        <v>4.4000000000000003E-3</v>
      </c>
      <c r="O73" s="3">
        <v>2.5019999999999998</v>
      </c>
      <c r="P73" s="3">
        <v>0.17699999999999999</v>
      </c>
      <c r="Q73" s="4">
        <v>0.71</v>
      </c>
      <c r="R73" s="5">
        <v>42</v>
      </c>
      <c r="S73" s="2">
        <v>3.1</v>
      </c>
      <c r="T73" s="2">
        <v>6.5</v>
      </c>
      <c r="U73" s="6"/>
      <c r="V73" s="6"/>
      <c r="W73" s="6" t="s">
        <v>9</v>
      </c>
      <c r="X73" s="1" t="s">
        <v>451</v>
      </c>
      <c r="Y73" s="1" t="s">
        <v>241</v>
      </c>
      <c r="Z73" s="1" t="s">
        <v>284</v>
      </c>
      <c r="AA73" s="6" t="s">
        <v>361</v>
      </c>
    </row>
    <row r="74" spans="1:27" x14ac:dyDescent="0.3">
      <c r="A74" s="1" t="s">
        <v>73</v>
      </c>
      <c r="B74" s="1" t="s">
        <v>337</v>
      </c>
      <c r="D74" s="1" t="s">
        <v>342</v>
      </c>
      <c r="F74" s="1" t="s">
        <v>343</v>
      </c>
      <c r="G74" s="1" t="s">
        <v>344</v>
      </c>
      <c r="K74" s="1" t="s">
        <v>37</v>
      </c>
      <c r="M74" s="3">
        <v>3.3999999999999998E-3</v>
      </c>
      <c r="N74" s="3">
        <v>2.9999999999999997E-4</v>
      </c>
      <c r="O74" s="3">
        <v>3.0910000000000002</v>
      </c>
      <c r="P74" s="3">
        <v>0.28599999999999998</v>
      </c>
      <c r="Q74" s="4">
        <v>0.88</v>
      </c>
      <c r="R74" s="5">
        <v>37</v>
      </c>
      <c r="S74" s="2">
        <v>1.5</v>
      </c>
      <c r="T74" s="2">
        <v>4</v>
      </c>
      <c r="U74" s="6"/>
      <c r="V74" s="6"/>
      <c r="W74" s="6" t="s">
        <v>14</v>
      </c>
      <c r="X74" s="1" t="s">
        <v>451</v>
      </c>
      <c r="Y74" s="1" t="s">
        <v>15</v>
      </c>
      <c r="Z74" s="1" t="s">
        <v>284</v>
      </c>
      <c r="AA74" s="6" t="s">
        <v>361</v>
      </c>
    </row>
    <row r="75" spans="1:27" x14ac:dyDescent="0.3">
      <c r="A75" s="1" t="s">
        <v>73</v>
      </c>
      <c r="B75" s="1" t="s">
        <v>337</v>
      </c>
      <c r="D75" s="1" t="s">
        <v>342</v>
      </c>
      <c r="F75" s="1" t="s">
        <v>346</v>
      </c>
      <c r="G75" s="1" t="s">
        <v>345</v>
      </c>
      <c r="K75" s="1" t="s">
        <v>37</v>
      </c>
      <c r="M75" s="3">
        <v>1.8100000000000002E-2</v>
      </c>
      <c r="N75" s="3">
        <v>2.3E-3</v>
      </c>
      <c r="O75" s="3">
        <v>2.3109999999999999</v>
      </c>
      <c r="P75" s="3">
        <v>0.24099999999999999</v>
      </c>
      <c r="Q75" s="4">
        <v>0.71</v>
      </c>
      <c r="R75" s="5">
        <v>38</v>
      </c>
      <c r="S75" s="2">
        <v>1.6</v>
      </c>
      <c r="T75" s="2">
        <v>3.7</v>
      </c>
      <c r="U75" s="6"/>
      <c r="V75" s="6"/>
      <c r="W75" s="6" t="s">
        <v>9</v>
      </c>
      <c r="X75" s="1" t="s">
        <v>451</v>
      </c>
      <c r="Y75" s="1" t="s">
        <v>15</v>
      </c>
      <c r="Z75" s="1" t="s">
        <v>284</v>
      </c>
      <c r="AA75" s="6" t="s">
        <v>361</v>
      </c>
    </row>
    <row r="76" spans="1:27" x14ac:dyDescent="0.3">
      <c r="A76" s="1" t="s">
        <v>73</v>
      </c>
      <c r="B76" s="1" t="s">
        <v>337</v>
      </c>
      <c r="D76" s="1" t="s">
        <v>342</v>
      </c>
      <c r="F76" s="1" t="s">
        <v>346</v>
      </c>
      <c r="G76" s="1" t="s">
        <v>345</v>
      </c>
      <c r="K76" s="1" t="s">
        <v>37</v>
      </c>
      <c r="M76" s="3">
        <v>5.1999999999999998E-3</v>
      </c>
      <c r="N76" s="3">
        <v>8.0000000000000004E-4</v>
      </c>
      <c r="O76" s="3">
        <v>2.903</v>
      </c>
      <c r="P76" s="3">
        <v>0.185</v>
      </c>
      <c r="Q76" s="4">
        <v>0.79</v>
      </c>
      <c r="R76" s="5">
        <v>54</v>
      </c>
      <c r="S76" s="2">
        <v>1.4</v>
      </c>
      <c r="T76" s="2">
        <v>3.9</v>
      </c>
      <c r="U76" s="6"/>
      <c r="V76" s="6"/>
      <c r="W76" s="6" t="s">
        <v>14</v>
      </c>
      <c r="X76" s="1" t="s">
        <v>451</v>
      </c>
      <c r="Y76" s="1" t="s">
        <v>15</v>
      </c>
      <c r="Z76" s="1" t="s">
        <v>284</v>
      </c>
      <c r="AA76" s="6" t="s">
        <v>361</v>
      </c>
    </row>
    <row r="77" spans="1:27" x14ac:dyDescent="0.3">
      <c r="A77" s="1" t="s">
        <v>73</v>
      </c>
      <c r="B77" s="1" t="s">
        <v>337</v>
      </c>
      <c r="D77" s="1" t="s">
        <v>342</v>
      </c>
      <c r="F77" s="1" t="s">
        <v>347</v>
      </c>
      <c r="K77" s="1" t="s">
        <v>36</v>
      </c>
      <c r="M77" s="3">
        <v>3.8999999999999998E-3</v>
      </c>
      <c r="N77" s="3"/>
      <c r="O77" s="3">
        <v>2.96</v>
      </c>
      <c r="P77" s="3"/>
      <c r="Q77" s="4">
        <v>0.96</v>
      </c>
      <c r="R77" s="5">
        <v>8</v>
      </c>
      <c r="S77" s="2">
        <v>1.1000000000000001</v>
      </c>
      <c r="T77" s="2">
        <v>3.4</v>
      </c>
      <c r="U77" s="6"/>
      <c r="V77" s="6"/>
      <c r="W77" s="6" t="s">
        <v>9</v>
      </c>
      <c r="X77" s="1" t="s">
        <v>451</v>
      </c>
      <c r="Y77" s="1" t="s">
        <v>10</v>
      </c>
      <c r="Z77" s="1" t="s">
        <v>284</v>
      </c>
      <c r="AA77" s="6" t="s">
        <v>361</v>
      </c>
    </row>
    <row r="78" spans="1:27" x14ac:dyDescent="0.3">
      <c r="A78" s="1" t="s">
        <v>73</v>
      </c>
      <c r="B78" s="1" t="s">
        <v>337</v>
      </c>
      <c r="D78" s="1" t="s">
        <v>342</v>
      </c>
      <c r="F78" s="1" t="s">
        <v>348</v>
      </c>
      <c r="K78" s="1" t="s">
        <v>37</v>
      </c>
      <c r="M78" s="3">
        <v>2.5000000000000001E-3</v>
      </c>
      <c r="N78" s="3">
        <v>6.9999999999999999E-4</v>
      </c>
      <c r="O78" s="3">
        <v>3.5209999999999999</v>
      </c>
      <c r="P78" s="3">
        <v>0.27800000000000002</v>
      </c>
      <c r="Q78" s="4">
        <v>0.9</v>
      </c>
      <c r="R78" s="5">
        <v>19</v>
      </c>
      <c r="S78" s="2">
        <v>1.2</v>
      </c>
      <c r="T78" s="2">
        <v>3.9</v>
      </c>
      <c r="U78" s="6">
        <v>9.1999999999999993</v>
      </c>
      <c r="V78" s="6">
        <v>2.2999999999999998</v>
      </c>
      <c r="W78" s="6" t="s">
        <v>96</v>
      </c>
      <c r="X78" s="1" t="s">
        <v>451</v>
      </c>
      <c r="Y78" s="1" t="s">
        <v>10</v>
      </c>
      <c r="Z78" s="1" t="s">
        <v>284</v>
      </c>
      <c r="AA78" s="6" t="s">
        <v>361</v>
      </c>
    </row>
    <row r="79" spans="1:27" x14ac:dyDescent="0.3">
      <c r="A79" s="1" t="s">
        <v>73</v>
      </c>
      <c r="B79" s="1" t="s">
        <v>337</v>
      </c>
      <c r="D79" s="1" t="s">
        <v>342</v>
      </c>
      <c r="F79" s="1" t="s">
        <v>349</v>
      </c>
      <c r="K79" s="1" t="s">
        <v>37</v>
      </c>
      <c r="M79" s="3">
        <v>1.11E-2</v>
      </c>
      <c r="N79" s="3">
        <v>1.15E-2</v>
      </c>
      <c r="O79" s="3">
        <v>2.4900000000000002</v>
      </c>
      <c r="P79" s="3">
        <v>0.154</v>
      </c>
      <c r="Q79" s="4">
        <v>0.83</v>
      </c>
      <c r="R79" s="5">
        <v>46</v>
      </c>
      <c r="S79" s="2">
        <v>1.8</v>
      </c>
      <c r="T79" s="2">
        <v>3.5</v>
      </c>
      <c r="U79" s="6"/>
      <c r="V79" s="6"/>
      <c r="W79" s="6" t="s">
        <v>9</v>
      </c>
      <c r="X79" s="1" t="s">
        <v>451</v>
      </c>
      <c r="Y79" s="1" t="s">
        <v>15</v>
      </c>
      <c r="Z79" s="1" t="s">
        <v>284</v>
      </c>
      <c r="AA79" s="6" t="s">
        <v>361</v>
      </c>
    </row>
    <row r="80" spans="1:27" x14ac:dyDescent="0.3">
      <c r="A80" s="1" t="s">
        <v>73</v>
      </c>
      <c r="B80" s="1" t="s">
        <v>337</v>
      </c>
      <c r="D80" s="1" t="s">
        <v>350</v>
      </c>
      <c r="F80" s="1" t="s">
        <v>351</v>
      </c>
      <c r="K80" s="1" t="s">
        <v>37</v>
      </c>
      <c r="M80" s="3">
        <v>5.3100000000000001E-2</v>
      </c>
      <c r="N80" s="3">
        <v>3.0999999999999999E-3</v>
      </c>
      <c r="O80" s="3">
        <v>2.5859999999999999</v>
      </c>
      <c r="P80" s="3">
        <v>0.21</v>
      </c>
      <c r="Q80" s="4">
        <v>0.67</v>
      </c>
      <c r="R80" s="5">
        <v>41</v>
      </c>
      <c r="S80" s="2">
        <v>11</v>
      </c>
      <c r="T80" s="2">
        <v>17.2</v>
      </c>
      <c r="U80" s="6"/>
      <c r="V80" s="6"/>
      <c r="W80" s="6" t="s">
        <v>9</v>
      </c>
      <c r="X80" s="1" t="s">
        <v>451</v>
      </c>
      <c r="Y80" s="1" t="s">
        <v>104</v>
      </c>
      <c r="Z80" s="1" t="s">
        <v>284</v>
      </c>
      <c r="AA80" s="6" t="s">
        <v>361</v>
      </c>
    </row>
    <row r="81" spans="1:27" x14ac:dyDescent="0.3">
      <c r="A81" s="1" t="s">
        <v>73</v>
      </c>
      <c r="B81" s="1" t="s">
        <v>337</v>
      </c>
      <c r="D81" s="1" t="s">
        <v>352</v>
      </c>
      <c r="F81" s="1" t="s">
        <v>353</v>
      </c>
      <c r="G81" s="1" t="s">
        <v>354</v>
      </c>
      <c r="K81" s="1" t="s">
        <v>37</v>
      </c>
      <c r="M81" s="3">
        <v>2.7099999999999999E-2</v>
      </c>
      <c r="N81" s="3">
        <v>2E-3</v>
      </c>
      <c r="O81" s="3">
        <v>2.7440000000000002</v>
      </c>
      <c r="P81" s="3">
        <v>0.151</v>
      </c>
      <c r="Q81" s="4">
        <v>0.76</v>
      </c>
      <c r="R81" s="5">
        <v>17</v>
      </c>
      <c r="S81" s="2">
        <v>4.4000000000000004</v>
      </c>
      <c r="T81" s="2">
        <v>6</v>
      </c>
      <c r="U81" s="6"/>
      <c r="V81" s="6"/>
      <c r="W81" s="6" t="s">
        <v>9</v>
      </c>
      <c r="X81" s="1" t="s">
        <v>451</v>
      </c>
      <c r="Y81" s="1" t="s">
        <v>241</v>
      </c>
      <c r="Z81" s="1" t="s">
        <v>284</v>
      </c>
      <c r="AA81" s="6" t="s">
        <v>361</v>
      </c>
    </row>
    <row r="82" spans="1:27" x14ac:dyDescent="0.3">
      <c r="A82" s="1" t="s">
        <v>73</v>
      </c>
      <c r="B82" s="1" t="s">
        <v>337</v>
      </c>
      <c r="D82" s="1" t="s">
        <v>355</v>
      </c>
      <c r="F82" s="1" t="s">
        <v>356</v>
      </c>
      <c r="K82" s="1" t="s">
        <v>37</v>
      </c>
      <c r="M82" s="3">
        <v>1.6400000000000001E-2</v>
      </c>
      <c r="N82" s="3"/>
      <c r="O82" s="3">
        <v>2.9289999999999998</v>
      </c>
      <c r="P82" s="3"/>
      <c r="Q82" s="4">
        <v>0.99</v>
      </c>
      <c r="R82" s="5">
        <v>7</v>
      </c>
      <c r="S82" s="2">
        <v>0.6</v>
      </c>
      <c r="T82" s="2">
        <v>5.2</v>
      </c>
      <c r="U82" s="6"/>
      <c r="V82" s="6"/>
      <c r="W82" s="6" t="s">
        <v>9</v>
      </c>
      <c r="X82" s="1" t="s">
        <v>451</v>
      </c>
      <c r="Y82" s="1" t="s">
        <v>10</v>
      </c>
      <c r="Z82" s="1" t="s">
        <v>284</v>
      </c>
      <c r="AA82" s="6" t="s">
        <v>361</v>
      </c>
    </row>
    <row r="83" spans="1:27" x14ac:dyDescent="0.3">
      <c r="A83" s="1" t="s">
        <v>73</v>
      </c>
      <c r="B83" s="1" t="s">
        <v>337</v>
      </c>
      <c r="D83" s="1" t="s">
        <v>355</v>
      </c>
      <c r="F83" s="1" t="s">
        <v>357</v>
      </c>
      <c r="K83" s="1" t="s">
        <v>36</v>
      </c>
      <c r="M83" s="3">
        <v>7.7000000000000002E-3</v>
      </c>
      <c r="N83" s="3">
        <v>1.1999999999999999E-3</v>
      </c>
      <c r="O83" s="3">
        <v>2.883</v>
      </c>
      <c r="P83" s="3">
        <v>0.122</v>
      </c>
      <c r="Q83" s="4">
        <v>0.95</v>
      </c>
      <c r="R83" s="5">
        <v>29</v>
      </c>
      <c r="S83" s="2">
        <v>1.2</v>
      </c>
      <c r="T83" s="2">
        <v>8.4</v>
      </c>
      <c r="U83" s="6">
        <v>5.5</v>
      </c>
      <c r="V83" s="6">
        <v>1.5</v>
      </c>
      <c r="W83" s="6" t="s">
        <v>96</v>
      </c>
      <c r="X83" s="1" t="s">
        <v>451</v>
      </c>
      <c r="Y83" s="1" t="s">
        <v>10</v>
      </c>
      <c r="Z83" s="1" t="s">
        <v>284</v>
      </c>
      <c r="AA83" s="6" t="s">
        <v>361</v>
      </c>
    </row>
    <row r="84" spans="1:27" x14ac:dyDescent="0.3">
      <c r="A84" s="1" t="s">
        <v>73</v>
      </c>
      <c r="B84" s="1" t="s">
        <v>337</v>
      </c>
      <c r="D84" s="1" t="s">
        <v>358</v>
      </c>
      <c r="F84" s="1" t="s">
        <v>362</v>
      </c>
      <c r="G84" s="1" t="s">
        <v>363</v>
      </c>
      <c r="K84" s="1" t="s">
        <v>36</v>
      </c>
      <c r="M84" s="3">
        <v>1.1000000000000001E-3</v>
      </c>
      <c r="N84" s="3">
        <v>2.9999999999999997E-4</v>
      </c>
      <c r="O84" s="3">
        <v>3.1</v>
      </c>
      <c r="P84" s="3">
        <v>0.13900000000000001</v>
      </c>
      <c r="Q84" s="4">
        <v>0.95</v>
      </c>
      <c r="R84" s="5">
        <v>25</v>
      </c>
      <c r="S84" s="2">
        <v>1.6</v>
      </c>
      <c r="T84" s="2">
        <v>15.2</v>
      </c>
      <c r="U84" s="6">
        <v>9.3000000000000007</v>
      </c>
      <c r="V84" s="6">
        <v>2.1</v>
      </c>
      <c r="W84" s="6" t="s">
        <v>96</v>
      </c>
      <c r="X84" s="1" t="s">
        <v>451</v>
      </c>
      <c r="Y84" s="1" t="s">
        <v>10</v>
      </c>
      <c r="Z84" s="1" t="s">
        <v>284</v>
      </c>
      <c r="AA84" s="6" t="s">
        <v>361</v>
      </c>
    </row>
    <row r="85" spans="1:27" ht="14.5" x14ac:dyDescent="0.35">
      <c r="A85" s="1" t="s">
        <v>73</v>
      </c>
      <c r="B85" t="s">
        <v>484</v>
      </c>
      <c r="D85" t="s">
        <v>342</v>
      </c>
      <c r="F85" t="s">
        <v>530</v>
      </c>
      <c r="G85"/>
      <c r="K85" s="1" t="s">
        <v>37</v>
      </c>
      <c r="L85" s="1" t="s">
        <v>548</v>
      </c>
      <c r="M85">
        <v>5.8576897133356225E-3</v>
      </c>
      <c r="N85"/>
      <c r="O85">
        <v>2.11</v>
      </c>
      <c r="P85"/>
      <c r="Q85" s="17">
        <v>0.72</v>
      </c>
      <c r="R85">
        <v>16</v>
      </c>
      <c r="S85">
        <v>3</v>
      </c>
      <c r="T85">
        <v>7</v>
      </c>
      <c r="U85" s="6"/>
      <c r="V85" s="6"/>
      <c r="W85" s="6" t="s">
        <v>549</v>
      </c>
      <c r="X85" s="6" t="s">
        <v>550</v>
      </c>
      <c r="Y85" t="s">
        <v>551</v>
      </c>
    </row>
    <row r="86" spans="1:27" ht="14.5" x14ac:dyDescent="0.35">
      <c r="A86" s="1" t="s">
        <v>73</v>
      </c>
      <c r="B86" t="s">
        <v>484</v>
      </c>
      <c r="D86" t="s">
        <v>485</v>
      </c>
      <c r="F86" t="s">
        <v>531</v>
      </c>
      <c r="G86" t="s">
        <v>532</v>
      </c>
      <c r="K86" s="1" t="s">
        <v>37</v>
      </c>
      <c r="L86" s="1" t="s">
        <v>548</v>
      </c>
      <c r="M86">
        <v>2.4054939786195095E-3</v>
      </c>
      <c r="N86"/>
      <c r="O86">
        <v>2.2000000000000002</v>
      </c>
      <c r="P86"/>
      <c r="Q86" s="17">
        <v>0.82</v>
      </c>
      <c r="R86">
        <v>7</v>
      </c>
      <c r="S86">
        <v>3</v>
      </c>
      <c r="T86">
        <v>8</v>
      </c>
      <c r="U86" s="6"/>
      <c r="V86" s="6"/>
      <c r="W86" s="6" t="s">
        <v>549</v>
      </c>
      <c r="X86" s="6" t="s">
        <v>550</v>
      </c>
      <c r="Y86" t="s">
        <v>551</v>
      </c>
    </row>
    <row r="87" spans="1:27" ht="14.5" x14ac:dyDescent="0.35">
      <c r="A87" s="1" t="s">
        <v>73</v>
      </c>
      <c r="B87" s="15" t="s">
        <v>337</v>
      </c>
      <c r="D87" s="15" t="s">
        <v>564</v>
      </c>
      <c r="F87" s="15" t="s">
        <v>557</v>
      </c>
      <c r="G87" s="15"/>
      <c r="J87" s="15" t="s">
        <v>560</v>
      </c>
      <c r="K87" s="1" t="s">
        <v>37</v>
      </c>
      <c r="M87" s="15">
        <v>1.9063114291611637E-2</v>
      </c>
      <c r="N87" s="15"/>
      <c r="O87" s="15">
        <v>2.5299999999999998</v>
      </c>
      <c r="Q87" s="18">
        <v>0.19</v>
      </c>
      <c r="R87" s="15">
        <v>17</v>
      </c>
      <c r="S87" s="15">
        <v>2.2000000000000002</v>
      </c>
      <c r="T87" s="15">
        <v>2.7</v>
      </c>
      <c r="U87" s="6"/>
      <c r="V87" s="6"/>
      <c r="W87" s="6" t="s">
        <v>570</v>
      </c>
      <c r="X87" s="6" t="s">
        <v>550</v>
      </c>
      <c r="Y87" s="1" t="s">
        <v>571</v>
      </c>
    </row>
    <row r="88" spans="1:27" ht="14.5" x14ac:dyDescent="0.35">
      <c r="A88" s="1" t="s">
        <v>73</v>
      </c>
      <c r="B88" s="15" t="s">
        <v>337</v>
      </c>
      <c r="D88" s="15" t="s">
        <v>342</v>
      </c>
      <c r="F88" s="15" t="s">
        <v>558</v>
      </c>
      <c r="G88" s="15"/>
      <c r="J88" s="15" t="s">
        <v>561</v>
      </c>
      <c r="K88" s="1" t="s">
        <v>37</v>
      </c>
      <c r="M88" s="15">
        <v>3.4478652761031265E-3</v>
      </c>
      <c r="N88" s="15"/>
      <c r="O88" s="15">
        <v>3.0990000000000002</v>
      </c>
      <c r="Q88" s="18">
        <v>0.8</v>
      </c>
      <c r="R88" s="15">
        <v>6</v>
      </c>
      <c r="S88" s="15">
        <v>1.5</v>
      </c>
      <c r="T88" s="15">
        <v>3.9</v>
      </c>
      <c r="U88" s="6"/>
      <c r="V88" s="6"/>
      <c r="W88" s="6" t="s">
        <v>570</v>
      </c>
      <c r="X88" s="6" t="s">
        <v>550</v>
      </c>
      <c r="Y88" s="1" t="s">
        <v>571</v>
      </c>
    </row>
    <row r="89" spans="1:27" ht="14.5" x14ac:dyDescent="0.35">
      <c r="A89" s="1" t="s">
        <v>73</v>
      </c>
      <c r="B89" s="15" t="s">
        <v>337</v>
      </c>
      <c r="D89" s="15" t="s">
        <v>342</v>
      </c>
      <c r="F89" s="15" t="s">
        <v>558</v>
      </c>
      <c r="G89" s="15"/>
      <c r="J89" s="15" t="s">
        <v>560</v>
      </c>
      <c r="K89" s="1" t="s">
        <v>37</v>
      </c>
      <c r="M89" s="15">
        <v>9.3030320320494902E-4</v>
      </c>
      <c r="N89" s="15"/>
      <c r="O89" s="15">
        <v>6.18</v>
      </c>
      <c r="Q89" s="18">
        <v>0.7</v>
      </c>
      <c r="R89" s="15">
        <v>9</v>
      </c>
      <c r="S89" s="15">
        <v>2.2000000000000002</v>
      </c>
      <c r="T89" s="15">
        <v>2.9</v>
      </c>
      <c r="U89" s="6"/>
      <c r="V89" s="6"/>
      <c r="W89" s="6" t="s">
        <v>570</v>
      </c>
      <c r="X89" s="6" t="s">
        <v>550</v>
      </c>
      <c r="Y89" s="1" t="s">
        <v>571</v>
      </c>
    </row>
    <row r="90" spans="1:27" ht="14.5" x14ac:dyDescent="0.35">
      <c r="A90" s="1" t="s">
        <v>73</v>
      </c>
      <c r="B90" s="15" t="s">
        <v>337</v>
      </c>
      <c r="D90" s="15" t="s">
        <v>342</v>
      </c>
      <c r="F90" s="15" t="s">
        <v>559</v>
      </c>
      <c r="G90" s="15"/>
      <c r="J90" s="15" t="s">
        <v>561</v>
      </c>
      <c r="K90" s="1" t="s">
        <v>37</v>
      </c>
      <c r="M90" s="15">
        <v>1.6492825447327666E-4</v>
      </c>
      <c r="N90" s="15"/>
      <c r="O90" s="15">
        <v>4.53</v>
      </c>
      <c r="Q90" s="18">
        <v>0.7</v>
      </c>
      <c r="R90" s="15">
        <v>16</v>
      </c>
      <c r="S90" s="15">
        <v>2.4</v>
      </c>
      <c r="T90" s="15">
        <v>7.1</v>
      </c>
      <c r="U90" s="6"/>
      <c r="V90" s="6"/>
      <c r="W90" s="6" t="s">
        <v>570</v>
      </c>
      <c r="X90" s="6" t="s">
        <v>550</v>
      </c>
      <c r="Y90" s="1" t="s">
        <v>571</v>
      </c>
    </row>
    <row r="91" spans="1:27" ht="14.5" x14ac:dyDescent="0.35">
      <c r="A91" s="1" t="s">
        <v>73</v>
      </c>
      <c r="B91" s="15" t="s">
        <v>337</v>
      </c>
      <c r="D91" s="15" t="s">
        <v>342</v>
      </c>
      <c r="F91" s="15" t="s">
        <v>559</v>
      </c>
      <c r="G91" s="15"/>
      <c r="J91" s="15" t="s">
        <v>560</v>
      </c>
      <c r="K91" s="1" t="s">
        <v>37</v>
      </c>
      <c r="M91" s="15">
        <v>7.5214224749932702E-3</v>
      </c>
      <c r="N91" s="15"/>
      <c r="O91" s="15">
        <v>3.83</v>
      </c>
      <c r="Q91" s="18">
        <v>0.9</v>
      </c>
      <c r="R91" s="15">
        <v>7</v>
      </c>
      <c r="S91" s="15">
        <v>2.1</v>
      </c>
      <c r="T91" s="15">
        <v>3.6</v>
      </c>
      <c r="U91" s="6"/>
      <c r="V91" s="6"/>
      <c r="W91" s="6" t="s">
        <v>570</v>
      </c>
      <c r="X91" s="6" t="s">
        <v>550</v>
      </c>
      <c r="Y91" s="1" t="s">
        <v>571</v>
      </c>
    </row>
    <row r="92" spans="1:27" x14ac:dyDescent="0.3">
      <c r="A92" s="1" t="s">
        <v>672</v>
      </c>
      <c r="B92" s="1" t="s">
        <v>635</v>
      </c>
      <c r="F92" s="1" t="s">
        <v>636</v>
      </c>
      <c r="G92" s="1" t="s">
        <v>637</v>
      </c>
      <c r="K92" s="1" t="s">
        <v>37</v>
      </c>
      <c r="L92" s="1" t="s">
        <v>673</v>
      </c>
      <c r="M92" s="6">
        <f>EXP(0.6977)/1000</f>
        <v>2.0091263985379977E-3</v>
      </c>
      <c r="N92" s="6"/>
      <c r="O92" s="6">
        <v>0.46899999999999997</v>
      </c>
      <c r="P92" s="6"/>
      <c r="Q92" s="4">
        <v>0.98</v>
      </c>
      <c r="R92" s="5">
        <v>50</v>
      </c>
      <c r="S92" s="6">
        <v>0.16</v>
      </c>
      <c r="T92" s="6">
        <v>0.3</v>
      </c>
      <c r="U92" s="6"/>
      <c r="V92" s="6"/>
      <c r="W92" s="6"/>
      <c r="X92" s="6"/>
      <c r="Y92" s="1" t="s">
        <v>661</v>
      </c>
      <c r="Z92" s="1" t="s">
        <v>669</v>
      </c>
      <c r="AA92" s="1" t="s">
        <v>670</v>
      </c>
    </row>
    <row r="93" spans="1:27" x14ac:dyDescent="0.3">
      <c r="A93" s="1" t="s">
        <v>672</v>
      </c>
      <c r="B93" s="1" t="s">
        <v>635</v>
      </c>
      <c r="F93" s="1" t="s">
        <v>639</v>
      </c>
      <c r="G93" s="1" t="s">
        <v>638</v>
      </c>
      <c r="K93" s="1" t="s">
        <v>37</v>
      </c>
      <c r="L93" s="1" t="s">
        <v>676</v>
      </c>
      <c r="M93" s="6">
        <f>EXP(1.5013)/1000</f>
        <v>4.4875190547983479E-3</v>
      </c>
      <c r="N93" s="6"/>
      <c r="O93" s="6">
        <v>1.73</v>
      </c>
      <c r="P93" s="6"/>
      <c r="Q93" s="4">
        <v>0.85</v>
      </c>
      <c r="R93" s="5">
        <v>25</v>
      </c>
      <c r="S93" s="6">
        <v>0.3</v>
      </c>
      <c r="T93" s="6">
        <v>1.4</v>
      </c>
      <c r="U93" s="6"/>
      <c r="V93" s="6"/>
      <c r="W93" s="6"/>
      <c r="X93" s="6"/>
      <c r="Y93" s="1" t="s">
        <v>661</v>
      </c>
      <c r="Z93" s="1" t="s">
        <v>669</v>
      </c>
      <c r="AA93" s="1" t="s">
        <v>670</v>
      </c>
    </row>
    <row r="94" spans="1:27" x14ac:dyDescent="0.3">
      <c r="A94" s="1" t="s">
        <v>672</v>
      </c>
      <c r="B94" s="1" t="s">
        <v>635</v>
      </c>
      <c r="F94" s="1" t="s">
        <v>639</v>
      </c>
      <c r="G94" s="1" t="s">
        <v>640</v>
      </c>
      <c r="K94" s="1" t="s">
        <v>37</v>
      </c>
      <c r="L94" s="1" t="s">
        <v>673</v>
      </c>
      <c r="M94" s="6">
        <f>EXP(1.05)/1000</f>
        <v>2.857651118063164E-3</v>
      </c>
      <c r="N94" s="6"/>
      <c r="O94" s="6">
        <v>2.46</v>
      </c>
      <c r="P94" s="6"/>
      <c r="Q94" s="4">
        <v>0.59</v>
      </c>
      <c r="R94" s="5">
        <v>26</v>
      </c>
      <c r="S94" s="6"/>
      <c r="T94" s="6"/>
      <c r="U94" s="6"/>
      <c r="V94" s="6"/>
      <c r="W94" s="6"/>
      <c r="X94" s="6"/>
      <c r="Y94" s="1" t="s">
        <v>660</v>
      </c>
      <c r="Z94" s="1" t="s">
        <v>669</v>
      </c>
      <c r="AA94" s="1" t="s">
        <v>670</v>
      </c>
    </row>
    <row r="95" spans="1:27" x14ac:dyDescent="0.3">
      <c r="A95" s="1" t="s">
        <v>672</v>
      </c>
      <c r="B95" s="1" t="s">
        <v>635</v>
      </c>
      <c r="F95" s="1" t="s">
        <v>639</v>
      </c>
      <c r="G95" s="1" t="s">
        <v>641</v>
      </c>
      <c r="K95" s="1" t="s">
        <v>37</v>
      </c>
      <c r="L95" s="1" t="s">
        <v>679</v>
      </c>
      <c r="M95" s="6">
        <f>EXP(1.2431)/1000</f>
        <v>3.4663424878971405E-3</v>
      </c>
      <c r="N95" s="6"/>
      <c r="O95" s="6">
        <v>2.2633999999999999</v>
      </c>
      <c r="P95" s="6"/>
      <c r="R95" s="5">
        <v>23</v>
      </c>
      <c r="S95" s="6">
        <v>0.3</v>
      </c>
      <c r="T95" s="6">
        <v>1.85</v>
      </c>
      <c r="U95" s="6"/>
      <c r="V95" s="6"/>
      <c r="W95" s="6"/>
      <c r="X95" s="6"/>
      <c r="Y95" s="1" t="s">
        <v>662</v>
      </c>
      <c r="Z95" s="1" t="s">
        <v>669</v>
      </c>
      <c r="AA95" s="1" t="s">
        <v>670</v>
      </c>
    </row>
    <row r="96" spans="1:27" x14ac:dyDescent="0.3">
      <c r="A96" s="1" t="s">
        <v>672</v>
      </c>
      <c r="B96" s="1" t="s">
        <v>635</v>
      </c>
      <c r="F96" s="1" t="s">
        <v>642</v>
      </c>
      <c r="G96" s="1" t="s">
        <v>184</v>
      </c>
      <c r="K96" s="1" t="s">
        <v>37</v>
      </c>
      <c r="L96" s="1" t="s">
        <v>676</v>
      </c>
      <c r="M96" s="6">
        <f>EXP(2.2266)/1000</f>
        <v>9.2683002271707043E-3</v>
      </c>
      <c r="O96" s="6">
        <v>3.23</v>
      </c>
      <c r="P96" s="6"/>
      <c r="Q96" s="4">
        <v>0.99</v>
      </c>
      <c r="R96" s="5">
        <v>25</v>
      </c>
      <c r="S96" s="6">
        <v>0.4</v>
      </c>
      <c r="T96" s="6">
        <v>1.2</v>
      </c>
      <c r="U96" s="6"/>
      <c r="V96" s="6"/>
      <c r="W96" s="6"/>
      <c r="X96" s="6"/>
      <c r="Y96" s="1" t="s">
        <v>661</v>
      </c>
      <c r="Z96" s="1" t="s">
        <v>669</v>
      </c>
      <c r="AA96" s="1" t="s">
        <v>670</v>
      </c>
    </row>
    <row r="97" spans="1:27" x14ac:dyDescent="0.3">
      <c r="A97" s="1" t="s">
        <v>672</v>
      </c>
      <c r="B97" s="1" t="s">
        <v>635</v>
      </c>
      <c r="F97" s="1" t="s">
        <v>642</v>
      </c>
      <c r="G97" s="1" t="s">
        <v>184</v>
      </c>
      <c r="K97" s="1" t="s">
        <v>37</v>
      </c>
      <c r="L97" s="1" t="s">
        <v>680</v>
      </c>
      <c r="M97" s="6">
        <f>EXP(2.4511)/1000</f>
        <v>1.1601100914135687E-2</v>
      </c>
      <c r="N97" s="6"/>
      <c r="O97" s="6">
        <v>0.78249999999999997</v>
      </c>
      <c r="P97" s="6"/>
      <c r="Q97" s="4">
        <v>0.66</v>
      </c>
      <c r="R97" s="5">
        <v>21</v>
      </c>
      <c r="S97" s="6">
        <v>1.22</v>
      </c>
      <c r="T97" s="6">
        <v>1.73</v>
      </c>
      <c r="U97" s="6"/>
      <c r="V97" s="6"/>
      <c r="W97" s="6"/>
      <c r="X97" s="6"/>
      <c r="Y97" s="1" t="s">
        <v>662</v>
      </c>
      <c r="Z97" s="1" t="s">
        <v>669</v>
      </c>
      <c r="AA97" s="1" t="s">
        <v>670</v>
      </c>
    </row>
    <row r="98" spans="1:27" x14ac:dyDescent="0.3">
      <c r="A98" s="1" t="s">
        <v>672</v>
      </c>
      <c r="B98" s="1" t="s">
        <v>635</v>
      </c>
      <c r="F98" s="1" t="s">
        <v>642</v>
      </c>
      <c r="G98" s="1" t="s">
        <v>643</v>
      </c>
      <c r="K98" s="1" t="s">
        <v>37</v>
      </c>
      <c r="L98" s="1" t="s">
        <v>673</v>
      </c>
      <c r="M98" s="6">
        <f>EXP(1.4919)/1000</f>
        <v>4.4455340145219333E-3</v>
      </c>
      <c r="N98" s="6"/>
      <c r="O98" s="6">
        <v>1.9850000000000001</v>
      </c>
      <c r="P98" s="6"/>
      <c r="Q98" s="4">
        <v>0.81</v>
      </c>
      <c r="R98" s="5"/>
      <c r="S98" s="6">
        <v>0.14000000000000001</v>
      </c>
      <c r="T98" s="6">
        <v>0.73</v>
      </c>
      <c r="U98" s="6"/>
      <c r="V98" s="6"/>
      <c r="W98" s="6"/>
      <c r="X98" s="6"/>
      <c r="Y98" s="1" t="s">
        <v>663</v>
      </c>
      <c r="Z98" s="1" t="s">
        <v>669</v>
      </c>
      <c r="AA98" s="1" t="s">
        <v>670</v>
      </c>
    </row>
    <row r="99" spans="1:27" x14ac:dyDescent="0.3">
      <c r="A99" s="1" t="s">
        <v>672</v>
      </c>
      <c r="B99" s="1" t="s">
        <v>635</v>
      </c>
      <c r="F99" s="1" t="s">
        <v>642</v>
      </c>
      <c r="G99" s="1" t="s">
        <v>643</v>
      </c>
      <c r="K99" s="1" t="s">
        <v>37</v>
      </c>
      <c r="L99" s="1" t="s">
        <v>673</v>
      </c>
      <c r="M99" s="6">
        <f>EXP(1.3048)/1000</f>
        <v>3.6869516296351404E-3</v>
      </c>
      <c r="N99" s="6"/>
      <c r="O99" s="6">
        <v>2.5</v>
      </c>
      <c r="P99" s="6"/>
      <c r="Q99" s="4">
        <v>0.89</v>
      </c>
      <c r="R99" s="5"/>
      <c r="S99" s="6"/>
      <c r="T99" s="6"/>
      <c r="U99" s="6"/>
      <c r="V99" s="6"/>
      <c r="W99" s="6"/>
      <c r="X99" s="6"/>
      <c r="Y99" s="1" t="s">
        <v>663</v>
      </c>
      <c r="Z99" s="1" t="s">
        <v>669</v>
      </c>
      <c r="AA99" s="1" t="s">
        <v>670</v>
      </c>
    </row>
    <row r="100" spans="1:27" x14ac:dyDescent="0.3">
      <c r="A100" s="1" t="s">
        <v>672</v>
      </c>
      <c r="B100" s="1" t="s">
        <v>635</v>
      </c>
      <c r="F100" s="1" t="s">
        <v>642</v>
      </c>
      <c r="G100" s="1" t="s">
        <v>643</v>
      </c>
      <c r="K100" s="1" t="s">
        <v>37</v>
      </c>
      <c r="L100" s="1" t="s">
        <v>681</v>
      </c>
      <c r="M100" s="6">
        <f>EXP(2.5442)/1000</f>
        <v>1.2733037580342454E-2</v>
      </c>
      <c r="N100" s="6"/>
      <c r="O100" s="6">
        <v>2.3696000000000002</v>
      </c>
      <c r="P100" s="6"/>
      <c r="R100" s="5">
        <v>6</v>
      </c>
      <c r="S100" s="6">
        <v>0.14000000000000001</v>
      </c>
      <c r="T100" s="6">
        <v>0.28999999999999998</v>
      </c>
      <c r="U100" s="6"/>
      <c r="V100" s="6"/>
      <c r="W100" s="6"/>
      <c r="X100" s="6"/>
      <c r="Y100" s="1" t="s">
        <v>662</v>
      </c>
      <c r="Z100" s="1" t="s">
        <v>669</v>
      </c>
      <c r="AA100" s="1" t="s">
        <v>670</v>
      </c>
    </row>
    <row r="101" spans="1:27" x14ac:dyDescent="0.3">
      <c r="A101" s="1" t="s">
        <v>672</v>
      </c>
      <c r="B101" s="1" t="s">
        <v>635</v>
      </c>
      <c r="F101" s="1" t="s">
        <v>642</v>
      </c>
      <c r="G101" s="1" t="s">
        <v>643</v>
      </c>
      <c r="K101" s="1" t="s">
        <v>37</v>
      </c>
      <c r="L101" s="1" t="s">
        <v>684</v>
      </c>
      <c r="M101" s="6">
        <f>EXP(1.2286)/1000</f>
        <v>3.4164431661797183E-3</v>
      </c>
      <c r="O101" s="6">
        <v>2.6398000000000001</v>
      </c>
      <c r="P101" s="6"/>
      <c r="R101" s="5">
        <v>7</v>
      </c>
      <c r="S101" s="6">
        <v>0.45</v>
      </c>
      <c r="T101" s="6">
        <v>1.2</v>
      </c>
      <c r="U101" s="6"/>
      <c r="V101" s="6"/>
      <c r="W101" s="6"/>
      <c r="X101" s="6"/>
      <c r="Y101" s="1" t="s">
        <v>662</v>
      </c>
      <c r="Z101" s="1" t="s">
        <v>669</v>
      </c>
      <c r="AA101" s="1" t="s">
        <v>670</v>
      </c>
    </row>
    <row r="102" spans="1:27" x14ac:dyDescent="0.3">
      <c r="A102" s="1" t="s">
        <v>672</v>
      </c>
      <c r="B102" s="1" t="s">
        <v>635</v>
      </c>
      <c r="F102" s="1" t="s">
        <v>642</v>
      </c>
      <c r="G102" s="1" t="s">
        <v>643</v>
      </c>
      <c r="K102" s="1" t="s">
        <v>37</v>
      </c>
      <c r="L102" s="1" t="s">
        <v>682</v>
      </c>
      <c r="M102" s="6">
        <f>EXP(1.0866)/1000</f>
        <v>2.9641787125535618E-3</v>
      </c>
      <c r="N102" s="6"/>
      <c r="O102" s="6">
        <v>1.5492999999999999</v>
      </c>
      <c r="P102" s="6"/>
      <c r="R102" s="4">
        <v>13</v>
      </c>
      <c r="S102" s="6">
        <v>0.14000000000000001</v>
      </c>
      <c r="T102" s="6">
        <v>1.2</v>
      </c>
      <c r="U102" s="6"/>
      <c r="V102" s="6"/>
      <c r="W102" s="6"/>
      <c r="X102" s="6"/>
      <c r="Y102" s="1" t="s">
        <v>662</v>
      </c>
      <c r="Z102" s="1" t="s">
        <v>669</v>
      </c>
      <c r="AA102" s="1" t="s">
        <v>670</v>
      </c>
    </row>
    <row r="103" spans="1:27" x14ac:dyDescent="0.3">
      <c r="A103" s="1" t="s">
        <v>672</v>
      </c>
      <c r="B103" s="1" t="s">
        <v>635</v>
      </c>
      <c r="F103" s="1" t="s">
        <v>642</v>
      </c>
      <c r="G103" s="1" t="s">
        <v>644</v>
      </c>
      <c r="K103" s="1" t="s">
        <v>37</v>
      </c>
      <c r="L103" s="1" t="s">
        <v>683</v>
      </c>
      <c r="M103" s="6">
        <f>EXP(2.7412)/1000</f>
        <v>1.5505580633546403E-2</v>
      </c>
      <c r="N103" s="6"/>
      <c r="O103" s="6">
        <v>1.6785000000000001</v>
      </c>
      <c r="P103" s="6"/>
      <c r="R103" s="5">
        <v>29</v>
      </c>
      <c r="S103" s="6">
        <v>1.6</v>
      </c>
      <c r="T103" s="6">
        <v>2.4500000000000002</v>
      </c>
      <c r="U103" s="6"/>
      <c r="V103" s="6"/>
      <c r="W103" s="6"/>
      <c r="X103" s="6"/>
      <c r="Y103" s="1" t="s">
        <v>662</v>
      </c>
      <c r="Z103" s="1" t="s">
        <v>669</v>
      </c>
      <c r="AA103" s="1" t="s">
        <v>670</v>
      </c>
    </row>
    <row r="104" spans="1:27" x14ac:dyDescent="0.3">
      <c r="A104" s="1" t="s">
        <v>672</v>
      </c>
      <c r="B104" s="1" t="s">
        <v>635</v>
      </c>
      <c r="F104" s="1" t="s">
        <v>642</v>
      </c>
      <c r="G104" s="1" t="s">
        <v>645</v>
      </c>
      <c r="K104" s="1" t="s">
        <v>37</v>
      </c>
      <c r="L104" s="1" t="s">
        <v>685</v>
      </c>
      <c r="M104" s="6">
        <f>EXP(1.4497)/1000</f>
        <v>4.2618357726352373E-3</v>
      </c>
      <c r="N104" s="6"/>
      <c r="O104" s="6">
        <v>2.1160000000000001</v>
      </c>
      <c r="P104" s="6"/>
      <c r="R104" s="5">
        <v>27</v>
      </c>
      <c r="S104" s="6">
        <v>0.17</v>
      </c>
      <c r="T104" s="6">
        <v>1.6</v>
      </c>
      <c r="U104" s="6"/>
      <c r="V104" s="6"/>
      <c r="W104" s="6"/>
      <c r="X104" s="6"/>
      <c r="Y104" s="1" t="s">
        <v>662</v>
      </c>
      <c r="Z104" s="1" t="s">
        <v>669</v>
      </c>
      <c r="AA104" s="1" t="s">
        <v>670</v>
      </c>
    </row>
    <row r="105" spans="1:27" x14ac:dyDescent="0.3">
      <c r="A105" s="1" t="s">
        <v>672</v>
      </c>
      <c r="B105" s="1" t="s">
        <v>635</v>
      </c>
      <c r="F105" s="1" t="s">
        <v>642</v>
      </c>
      <c r="G105" s="1" t="s">
        <v>645</v>
      </c>
      <c r="K105" s="1" t="s">
        <v>37</v>
      </c>
      <c r="L105" s="1" t="s">
        <v>686</v>
      </c>
      <c r="M105" s="6">
        <f>EXP(2.0577)/1000</f>
        <v>7.8279448164436903E-3</v>
      </c>
      <c r="N105" s="6"/>
      <c r="O105" s="6">
        <v>2.5529999999999999</v>
      </c>
      <c r="P105" s="6"/>
      <c r="R105" s="5">
        <v>111</v>
      </c>
      <c r="S105" s="6">
        <v>0.17</v>
      </c>
      <c r="T105" s="1">
        <v>2.1800000000000002</v>
      </c>
      <c r="U105" s="6"/>
      <c r="V105" s="6"/>
      <c r="W105" s="6"/>
      <c r="X105" s="6"/>
      <c r="Y105" s="1" t="s">
        <v>662</v>
      </c>
      <c r="Z105" s="1" t="s">
        <v>669</v>
      </c>
      <c r="AA105" s="1" t="s">
        <v>670</v>
      </c>
    </row>
    <row r="106" spans="1:27" x14ac:dyDescent="0.3">
      <c r="A106" s="1" t="s">
        <v>672</v>
      </c>
      <c r="B106" s="1" t="s">
        <v>635</v>
      </c>
      <c r="F106" s="1" t="s">
        <v>642</v>
      </c>
      <c r="G106" s="1" t="s">
        <v>645</v>
      </c>
      <c r="K106" s="1" t="s">
        <v>37</v>
      </c>
      <c r="L106" s="1" t="s">
        <v>676</v>
      </c>
      <c r="M106" s="6">
        <f>EXP(2.4342)/1000</f>
        <v>1.1406689710484282E-2</v>
      </c>
      <c r="N106" s="6"/>
      <c r="O106" s="6">
        <v>1.9694</v>
      </c>
      <c r="P106" s="6"/>
      <c r="R106" s="5">
        <v>84</v>
      </c>
      <c r="S106" s="6">
        <v>1.25</v>
      </c>
      <c r="T106" s="6">
        <v>2.1800000000000002</v>
      </c>
      <c r="U106" s="6"/>
      <c r="V106" s="6"/>
      <c r="W106" s="6"/>
      <c r="X106" s="6"/>
      <c r="Y106" s="1" t="s">
        <v>662</v>
      </c>
      <c r="Z106" s="1" t="s">
        <v>669</v>
      </c>
      <c r="AA106" s="1" t="s">
        <v>670</v>
      </c>
    </row>
    <row r="107" spans="1:27" x14ac:dyDescent="0.3">
      <c r="A107" s="1" t="s">
        <v>672</v>
      </c>
      <c r="B107" s="1" t="s">
        <v>635</v>
      </c>
      <c r="F107" s="1" t="s">
        <v>642</v>
      </c>
      <c r="G107" s="1" t="s">
        <v>645</v>
      </c>
      <c r="K107" s="1" t="s">
        <v>37</v>
      </c>
      <c r="L107" s="1" t="s">
        <v>687</v>
      </c>
      <c r="M107" s="6">
        <f>EXP(2.0186)/1000</f>
        <v>7.5277786628669104E-3</v>
      </c>
      <c r="N107" s="6"/>
      <c r="O107" s="6">
        <v>1.9947999999999999</v>
      </c>
      <c r="P107" s="6"/>
      <c r="R107" s="5">
        <v>120</v>
      </c>
      <c r="S107" s="6">
        <v>1.1200000000000001</v>
      </c>
      <c r="T107" s="6">
        <v>1.72</v>
      </c>
      <c r="U107" s="6"/>
      <c r="V107" s="6"/>
      <c r="W107" s="6"/>
      <c r="X107" s="6"/>
      <c r="Y107" s="1" t="s">
        <v>662</v>
      </c>
      <c r="Z107" s="1" t="s">
        <v>669</v>
      </c>
      <c r="AA107" s="1" t="s">
        <v>670</v>
      </c>
    </row>
    <row r="108" spans="1:27" x14ac:dyDescent="0.3">
      <c r="A108" s="1" t="s">
        <v>672</v>
      </c>
      <c r="B108" s="1" t="s">
        <v>635</v>
      </c>
      <c r="F108" s="1" t="s">
        <v>642</v>
      </c>
      <c r="G108" s="1" t="s">
        <v>646</v>
      </c>
      <c r="K108" s="1" t="s">
        <v>37</v>
      </c>
      <c r="L108" s="1" t="s">
        <v>679</v>
      </c>
      <c r="M108" s="6">
        <f>EXP(1.5386)/1000</f>
        <v>4.658064413774682E-3</v>
      </c>
      <c r="N108" s="6"/>
      <c r="O108" s="6">
        <v>2.3418000000000001</v>
      </c>
      <c r="P108" s="6"/>
      <c r="R108" s="5">
        <v>20</v>
      </c>
      <c r="S108" s="6">
        <v>0.24</v>
      </c>
      <c r="T108" s="6">
        <v>1.72</v>
      </c>
      <c r="U108" s="6"/>
      <c r="V108" s="6"/>
      <c r="W108" s="6"/>
      <c r="X108" s="6"/>
      <c r="Y108" s="1" t="s">
        <v>662</v>
      </c>
      <c r="Z108" s="1" t="s">
        <v>669</v>
      </c>
      <c r="AA108" s="1" t="s">
        <v>670</v>
      </c>
    </row>
    <row r="109" spans="1:27" x14ac:dyDescent="0.3">
      <c r="A109" s="1" t="s">
        <v>672</v>
      </c>
      <c r="B109" s="1" t="s">
        <v>635</v>
      </c>
      <c r="F109" s="1" t="s">
        <v>642</v>
      </c>
      <c r="G109" s="1" t="s">
        <v>647</v>
      </c>
      <c r="K109" s="1" t="s">
        <v>37</v>
      </c>
      <c r="L109" s="1" t="s">
        <v>688</v>
      </c>
      <c r="M109" s="6">
        <f>EXP(2.2128)/1000</f>
        <v>9.1412761659238079E-3</v>
      </c>
      <c r="N109" s="6"/>
      <c r="O109" s="6">
        <v>2.2947000000000002</v>
      </c>
      <c r="P109" s="6"/>
      <c r="R109" s="5">
        <v>52</v>
      </c>
      <c r="S109" s="6">
        <v>0.66</v>
      </c>
      <c r="T109" s="6">
        <v>1.7</v>
      </c>
      <c r="U109" s="6"/>
      <c r="V109" s="6"/>
      <c r="W109" s="6"/>
      <c r="X109" s="6"/>
      <c r="Y109" s="1" t="s">
        <v>662</v>
      </c>
      <c r="Z109" s="1" t="s">
        <v>669</v>
      </c>
      <c r="AA109" s="1" t="s">
        <v>670</v>
      </c>
    </row>
    <row r="110" spans="1:27" x14ac:dyDescent="0.3">
      <c r="A110" s="1" t="s">
        <v>672</v>
      </c>
      <c r="B110" s="1" t="s">
        <v>635</v>
      </c>
      <c r="F110" s="1" t="s">
        <v>648</v>
      </c>
      <c r="G110" s="1" t="s">
        <v>649</v>
      </c>
      <c r="K110" s="1" t="s">
        <v>37</v>
      </c>
      <c r="L110" s="1" t="s">
        <v>673</v>
      </c>
      <c r="M110" s="6">
        <f>EXP(1.6602)/1000</f>
        <v>5.2603628118090169E-3</v>
      </c>
      <c r="N110" s="6"/>
      <c r="O110" s="6">
        <v>3.968</v>
      </c>
      <c r="P110" s="6"/>
      <c r="Q110" s="4">
        <v>0.97</v>
      </c>
      <c r="R110" s="5">
        <v>25</v>
      </c>
      <c r="S110" s="6">
        <v>0.3</v>
      </c>
      <c r="T110" s="6">
        <v>1.5</v>
      </c>
      <c r="U110" s="6"/>
      <c r="V110" s="6"/>
      <c r="W110" s="6"/>
      <c r="X110" s="6"/>
      <c r="Y110" s="1" t="s">
        <v>661</v>
      </c>
      <c r="Z110" s="1" t="s">
        <v>669</v>
      </c>
      <c r="AA110" s="1" t="s">
        <v>670</v>
      </c>
    </row>
    <row r="111" spans="1:27" x14ac:dyDescent="0.3">
      <c r="A111" s="1" t="s">
        <v>672</v>
      </c>
      <c r="B111" s="1" t="s">
        <v>635</v>
      </c>
      <c r="F111" s="1" t="s">
        <v>648</v>
      </c>
      <c r="G111" s="1" t="s">
        <v>650</v>
      </c>
      <c r="K111" s="1" t="s">
        <v>37</v>
      </c>
      <c r="L111" s="1" t="s">
        <v>673</v>
      </c>
      <c r="M111" s="6">
        <f>EXP(1.3035)/1000</f>
        <v>3.6821617066411421E-3</v>
      </c>
      <c r="N111" s="6"/>
      <c r="O111" s="6">
        <v>2.4900000000000002</v>
      </c>
      <c r="P111" s="6"/>
      <c r="R111" s="5"/>
      <c r="S111" s="6">
        <v>0.3</v>
      </c>
      <c r="T111" s="6">
        <v>1.1000000000000001</v>
      </c>
      <c r="U111" s="6"/>
      <c r="V111" s="6"/>
      <c r="W111" s="6"/>
      <c r="X111" s="6"/>
      <c r="Y111" s="1" t="s">
        <v>668</v>
      </c>
      <c r="Z111" s="1" t="s">
        <v>669</v>
      </c>
      <c r="AA111" s="1" t="s">
        <v>670</v>
      </c>
    </row>
    <row r="112" spans="1:27" x14ac:dyDescent="0.3">
      <c r="A112" s="1" t="s">
        <v>672</v>
      </c>
      <c r="B112" s="1" t="s">
        <v>635</v>
      </c>
      <c r="F112" s="1" t="s">
        <v>648</v>
      </c>
      <c r="G112" s="1" t="s">
        <v>650</v>
      </c>
      <c r="K112" s="1" t="s">
        <v>37</v>
      </c>
      <c r="L112" s="1" t="s">
        <v>689</v>
      </c>
      <c r="M112" s="6">
        <f>EXP(1.27)/1000</f>
        <v>3.5608525623555204E-3</v>
      </c>
      <c r="N112" s="6"/>
      <c r="O112" s="6">
        <v>2.2570000000000001</v>
      </c>
      <c r="P112" s="6"/>
      <c r="R112" s="5">
        <v>23</v>
      </c>
      <c r="S112" s="6">
        <v>0.33</v>
      </c>
      <c r="T112" s="6">
        <v>1.1399999999999999</v>
      </c>
      <c r="U112" s="6"/>
      <c r="V112" s="6"/>
      <c r="W112" s="6"/>
      <c r="X112" s="6"/>
      <c r="Y112" s="1" t="s">
        <v>662</v>
      </c>
      <c r="Z112" s="1" t="s">
        <v>669</v>
      </c>
      <c r="AA112" s="1" t="s">
        <v>670</v>
      </c>
    </row>
    <row r="113" spans="1:27" x14ac:dyDescent="0.3">
      <c r="A113" s="1" t="s">
        <v>672</v>
      </c>
      <c r="B113" s="1" t="s">
        <v>635</v>
      </c>
      <c r="F113" s="1" t="s">
        <v>651</v>
      </c>
      <c r="G113" s="1" t="s">
        <v>652</v>
      </c>
      <c r="K113" s="1" t="s">
        <v>37</v>
      </c>
      <c r="L113" s="1" t="s">
        <v>673</v>
      </c>
      <c r="M113" s="6">
        <f>EXP(1.1356)/1000</f>
        <v>3.113040807154127E-3</v>
      </c>
      <c r="N113" s="6"/>
      <c r="O113" s="6">
        <v>2.996</v>
      </c>
      <c r="P113" s="6"/>
      <c r="Q113" s="4">
        <v>0.88</v>
      </c>
      <c r="R113" s="5"/>
      <c r="S113" s="6">
        <v>0.36</v>
      </c>
      <c r="T113" s="6">
        <v>0.99</v>
      </c>
      <c r="U113" s="6"/>
      <c r="V113" s="6"/>
      <c r="W113" s="6"/>
      <c r="X113" s="6"/>
      <c r="Y113" s="1" t="s">
        <v>663</v>
      </c>
      <c r="Z113" s="1" t="s">
        <v>669</v>
      </c>
      <c r="AA113" s="1" t="s">
        <v>670</v>
      </c>
    </row>
    <row r="114" spans="1:27" x14ac:dyDescent="0.3">
      <c r="A114" s="1" t="s">
        <v>672</v>
      </c>
      <c r="B114" s="1" t="s">
        <v>635</v>
      </c>
      <c r="F114" s="1" t="s">
        <v>651</v>
      </c>
      <c r="G114" s="1" t="s">
        <v>652</v>
      </c>
      <c r="K114" s="1" t="s">
        <v>37</v>
      </c>
      <c r="L114" s="1" t="s">
        <v>673</v>
      </c>
      <c r="M114" s="6">
        <f>EXP(1.4678)/1000</f>
        <v>4.3396773411872444E-3</v>
      </c>
      <c r="N114" s="6"/>
      <c r="O114" s="6">
        <v>2.9079999999999999</v>
      </c>
      <c r="P114" s="6"/>
      <c r="Q114" s="4">
        <v>0.98</v>
      </c>
      <c r="R114" s="5"/>
      <c r="S114" s="6"/>
      <c r="T114" s="6"/>
      <c r="U114" s="6"/>
      <c r="V114" s="6"/>
      <c r="W114" s="6"/>
      <c r="X114" s="6"/>
      <c r="Y114" s="1" t="s">
        <v>663</v>
      </c>
      <c r="Z114" s="1" t="s">
        <v>669</v>
      </c>
      <c r="AA114" s="1" t="s">
        <v>670</v>
      </c>
    </row>
    <row r="115" spans="1:27" x14ac:dyDescent="0.3">
      <c r="A115" s="1" t="s">
        <v>672</v>
      </c>
      <c r="B115" s="1" t="s">
        <v>635</v>
      </c>
      <c r="F115" s="1" t="s">
        <v>651</v>
      </c>
      <c r="G115" s="1" t="s">
        <v>653</v>
      </c>
      <c r="K115" s="1" t="s">
        <v>37</v>
      </c>
      <c r="L115" s="1" t="s">
        <v>690</v>
      </c>
      <c r="M115" s="6">
        <f>EXP(2.0365)/1000</f>
        <v>7.6637391167565074E-3</v>
      </c>
      <c r="N115" s="6"/>
      <c r="O115" s="6">
        <v>1.8911</v>
      </c>
      <c r="P115" s="6"/>
      <c r="R115" s="5">
        <v>9</v>
      </c>
      <c r="S115" s="6">
        <v>0.18</v>
      </c>
      <c r="T115" s="6">
        <v>0.79</v>
      </c>
      <c r="U115" s="6"/>
      <c r="V115" s="6"/>
      <c r="W115" s="6"/>
      <c r="X115" s="6"/>
      <c r="Y115" s="1" t="s">
        <v>662</v>
      </c>
      <c r="Z115" s="1" t="s">
        <v>669</v>
      </c>
      <c r="AA115" s="1" t="s">
        <v>670</v>
      </c>
    </row>
    <row r="116" spans="1:27" x14ac:dyDescent="0.3">
      <c r="A116" s="1" t="s">
        <v>672</v>
      </c>
      <c r="B116" s="1" t="s">
        <v>635</v>
      </c>
      <c r="F116" s="1" t="s">
        <v>651</v>
      </c>
      <c r="G116" s="1" t="s">
        <v>653</v>
      </c>
      <c r="K116" s="1" t="s">
        <v>37</v>
      </c>
      <c r="L116" s="1" t="s">
        <v>691</v>
      </c>
      <c r="M116" s="6">
        <f>EXP(1.8977)/1000</f>
        <v>6.6705345557027387E-3</v>
      </c>
      <c r="N116" s="6"/>
      <c r="O116" s="6">
        <v>2.0373999999999999</v>
      </c>
      <c r="P116" s="6"/>
      <c r="R116" s="5">
        <v>8</v>
      </c>
      <c r="S116" s="6">
        <v>0.66</v>
      </c>
      <c r="T116" s="6">
        <v>2.08</v>
      </c>
      <c r="U116" s="6"/>
      <c r="V116" s="6"/>
      <c r="W116" s="6"/>
      <c r="X116" s="6"/>
      <c r="Y116" s="1" t="s">
        <v>662</v>
      </c>
      <c r="Z116" s="1" t="s">
        <v>669</v>
      </c>
      <c r="AA116" s="1" t="s">
        <v>670</v>
      </c>
    </row>
    <row r="117" spans="1:27" x14ac:dyDescent="0.3">
      <c r="A117" s="1" t="s">
        <v>672</v>
      </c>
      <c r="B117" s="1" t="s">
        <v>635</v>
      </c>
      <c r="F117" s="1" t="s">
        <v>651</v>
      </c>
      <c r="G117" s="1" t="s">
        <v>653</v>
      </c>
      <c r="K117" s="1" t="s">
        <v>37</v>
      </c>
      <c r="L117" s="1" t="s">
        <v>692</v>
      </c>
      <c r="M117" s="6">
        <f>EXP(1.8551)/1000</f>
        <v>6.3923374524055181E-3</v>
      </c>
      <c r="N117" s="6"/>
      <c r="O117" s="6">
        <v>1.9756</v>
      </c>
      <c r="P117" s="6"/>
      <c r="R117" s="5">
        <v>17</v>
      </c>
      <c r="S117" s="6">
        <v>0.18</v>
      </c>
      <c r="T117" s="6">
        <v>2.08</v>
      </c>
      <c r="U117" s="6"/>
      <c r="V117" s="6"/>
      <c r="W117" s="6"/>
      <c r="X117" s="6"/>
      <c r="Y117" s="1" t="s">
        <v>662</v>
      </c>
      <c r="Z117" s="1" t="s">
        <v>669</v>
      </c>
      <c r="AA117" s="1" t="s">
        <v>670</v>
      </c>
    </row>
    <row r="118" spans="1:27" x14ac:dyDescent="0.3">
      <c r="A118" s="1" t="s">
        <v>672</v>
      </c>
      <c r="B118" s="1" t="s">
        <v>635</v>
      </c>
      <c r="F118" s="1" t="s">
        <v>654</v>
      </c>
      <c r="G118" s="1" t="s">
        <v>655</v>
      </c>
      <c r="K118" s="1" t="s">
        <v>37</v>
      </c>
      <c r="L118" s="1" t="s">
        <v>673</v>
      </c>
      <c r="M118" s="6">
        <f>EXP(1.6296)/1000</f>
        <v>5.1018335769048521E-3</v>
      </c>
      <c r="N118" s="6"/>
      <c r="O118" s="6">
        <v>3.1920000000000002</v>
      </c>
      <c r="P118" s="6"/>
      <c r="Q118" s="4">
        <v>0.88</v>
      </c>
      <c r="R118" s="5"/>
      <c r="S118" s="6">
        <v>0.36</v>
      </c>
      <c r="T118" s="6">
        <v>0.81</v>
      </c>
      <c r="U118" s="6"/>
      <c r="V118" s="6"/>
      <c r="W118" s="6"/>
      <c r="X118" s="6"/>
      <c r="Y118" s="1" t="s">
        <v>663</v>
      </c>
      <c r="Z118" s="1" t="s">
        <v>669</v>
      </c>
      <c r="AA118" s="1" t="s">
        <v>670</v>
      </c>
    </row>
    <row r="119" spans="1:27" x14ac:dyDescent="0.3">
      <c r="A119" s="1" t="s">
        <v>672</v>
      </c>
      <c r="B119" s="1" t="s">
        <v>635</v>
      </c>
      <c r="F119" s="1" t="s">
        <v>654</v>
      </c>
      <c r="G119" s="1" t="s">
        <v>641</v>
      </c>
      <c r="K119" s="1" t="s">
        <v>37</v>
      </c>
      <c r="L119" s="1" t="s">
        <v>673</v>
      </c>
      <c r="M119" s="6">
        <f>EXP(1.6097)/1000</f>
        <v>5.001310609569232E-3</v>
      </c>
      <c r="N119" s="6"/>
      <c r="O119" s="6">
        <v>2.5289999999999999</v>
      </c>
      <c r="P119" s="6"/>
      <c r="Q119" s="4">
        <v>0.94</v>
      </c>
      <c r="R119" s="5"/>
      <c r="S119" s="6"/>
      <c r="T119" s="6"/>
      <c r="U119" s="6"/>
      <c r="V119" s="6"/>
      <c r="W119" s="6"/>
      <c r="X119" s="6"/>
      <c r="Y119" s="1" t="s">
        <v>663</v>
      </c>
      <c r="Z119" s="1" t="s">
        <v>669</v>
      </c>
      <c r="AA119" s="1" t="s">
        <v>670</v>
      </c>
    </row>
    <row r="120" spans="1:27" x14ac:dyDescent="0.3">
      <c r="A120" s="1" t="s">
        <v>672</v>
      </c>
      <c r="B120" s="1" t="s">
        <v>635</v>
      </c>
      <c r="F120" s="1" t="s">
        <v>656</v>
      </c>
      <c r="G120" s="1" t="s">
        <v>657</v>
      </c>
      <c r="K120" s="1" t="s">
        <v>37</v>
      </c>
      <c r="L120" s="1" t="s">
        <v>673</v>
      </c>
      <c r="M120" s="6">
        <f>EXP(1.3035)/1000</f>
        <v>3.6821617066411421E-3</v>
      </c>
      <c r="N120" s="6"/>
      <c r="O120" s="6">
        <v>2.4900000000000002</v>
      </c>
      <c r="P120" s="6"/>
      <c r="R120" s="5"/>
      <c r="S120" s="6">
        <v>0.3</v>
      </c>
      <c r="T120" s="6">
        <v>1.1000000000000001</v>
      </c>
      <c r="U120" s="6"/>
      <c r="V120" s="6"/>
      <c r="W120" s="6"/>
      <c r="X120" s="6"/>
      <c r="Y120" s="1" t="s">
        <v>668</v>
      </c>
      <c r="Z120" s="1" t="s">
        <v>669</v>
      </c>
      <c r="AA120" s="1" t="s">
        <v>670</v>
      </c>
    </row>
    <row r="121" spans="1:27" x14ac:dyDescent="0.3">
      <c r="A121" s="1" t="s">
        <v>672</v>
      </c>
      <c r="B121" s="1" t="s">
        <v>635</v>
      </c>
      <c r="F121" s="1" t="s">
        <v>656</v>
      </c>
      <c r="G121" s="1" t="s">
        <v>657</v>
      </c>
      <c r="K121" s="1" t="s">
        <v>37</v>
      </c>
      <c r="L121" s="1" t="s">
        <v>693</v>
      </c>
      <c r="M121" s="6">
        <f>EXP(0.6772)/1000</f>
        <v>1.9683586049642045E-3</v>
      </c>
      <c r="N121" s="6"/>
      <c r="O121" s="6">
        <v>0.89280000000000004</v>
      </c>
      <c r="P121" s="6"/>
      <c r="R121" s="5">
        <v>25</v>
      </c>
      <c r="S121" s="6">
        <v>0.31</v>
      </c>
      <c r="T121" s="6">
        <v>0.68</v>
      </c>
      <c r="U121" s="6"/>
      <c r="V121" s="6"/>
      <c r="W121" s="6"/>
      <c r="X121" s="6"/>
      <c r="Y121" s="1" t="s">
        <v>662</v>
      </c>
      <c r="Z121" s="1" t="s">
        <v>669</v>
      </c>
      <c r="AA121" s="1" t="s">
        <v>670</v>
      </c>
    </row>
    <row r="122" spans="1:27" x14ac:dyDescent="0.3">
      <c r="A122" s="1" t="s">
        <v>672</v>
      </c>
      <c r="B122" s="1" t="s">
        <v>635</v>
      </c>
      <c r="F122" s="1" t="s">
        <v>658</v>
      </c>
      <c r="G122" s="1" t="s">
        <v>659</v>
      </c>
      <c r="K122" s="1" t="s">
        <v>37</v>
      </c>
      <c r="L122" s="1" t="s">
        <v>694</v>
      </c>
      <c r="M122" s="6">
        <f>EXP(2.8519)/1000</f>
        <v>1.7320659850283148E-2</v>
      </c>
      <c r="N122" s="6"/>
      <c r="O122" s="6">
        <v>3.6520000000000001</v>
      </c>
      <c r="P122" s="6"/>
      <c r="R122" s="5">
        <v>48</v>
      </c>
      <c r="S122" s="6">
        <v>0.32</v>
      </c>
      <c r="T122" s="6">
        <v>0.6</v>
      </c>
      <c r="U122" s="6"/>
      <c r="V122" s="6"/>
      <c r="W122" s="6"/>
      <c r="X122" s="6"/>
      <c r="Y122" s="1" t="s">
        <v>662</v>
      </c>
      <c r="Z122" s="1" t="s">
        <v>669</v>
      </c>
      <c r="AA122" s="1" t="s">
        <v>670</v>
      </c>
    </row>
    <row r="123" spans="1:27" x14ac:dyDescent="0.3">
      <c r="A123" s="1" t="s">
        <v>672</v>
      </c>
      <c r="B123" s="1" t="s">
        <v>635</v>
      </c>
      <c r="F123" s="1" t="s">
        <v>658</v>
      </c>
      <c r="G123" s="1" t="s">
        <v>659</v>
      </c>
      <c r="K123" s="1" t="s">
        <v>37</v>
      </c>
      <c r="L123" s="1" t="s">
        <v>695</v>
      </c>
      <c r="M123" s="6">
        <f>EXP(2.3409)/1000</f>
        <v>1.0390583881300715E-2</v>
      </c>
      <c r="N123" s="6"/>
      <c r="O123" s="6">
        <v>2.4409000000000001</v>
      </c>
      <c r="P123" s="6"/>
      <c r="R123" s="5">
        <v>86</v>
      </c>
      <c r="S123" s="6">
        <v>0.65</v>
      </c>
      <c r="T123" s="6">
        <v>1.02</v>
      </c>
      <c r="U123" s="6"/>
      <c r="V123" s="6"/>
      <c r="W123" s="6"/>
      <c r="X123" s="6"/>
      <c r="Y123" s="1" t="s">
        <v>662</v>
      </c>
      <c r="Z123" s="1" t="s">
        <v>669</v>
      </c>
      <c r="AA123" s="1" t="s">
        <v>670</v>
      </c>
    </row>
    <row r="124" spans="1:27" x14ac:dyDescent="0.3">
      <c r="A124" s="1" t="s">
        <v>672</v>
      </c>
      <c r="B124" s="1" t="s">
        <v>635</v>
      </c>
      <c r="F124" s="1" t="s">
        <v>658</v>
      </c>
      <c r="G124" s="1" t="s">
        <v>659</v>
      </c>
      <c r="K124" s="1" t="s">
        <v>37</v>
      </c>
      <c r="L124" s="1" t="s">
        <v>696</v>
      </c>
      <c r="M124" s="6">
        <f>EXP(2.2614)/1000</f>
        <v>9.5965148874094328E-3</v>
      </c>
      <c r="O124" s="6">
        <v>3.5724</v>
      </c>
      <c r="P124" s="6"/>
      <c r="R124" s="5">
        <v>107</v>
      </c>
      <c r="S124" s="6">
        <v>0.76</v>
      </c>
      <c r="T124" s="6">
        <v>1.1599999999999999</v>
      </c>
      <c r="U124" s="6"/>
      <c r="V124" s="6"/>
      <c r="W124" s="6"/>
      <c r="X124" s="6"/>
      <c r="Y124" s="1" t="s">
        <v>662</v>
      </c>
      <c r="Z124" s="1" t="s">
        <v>669</v>
      </c>
      <c r="AA124" s="1" t="s">
        <v>670</v>
      </c>
    </row>
    <row r="125" spans="1:27" x14ac:dyDescent="0.3">
      <c r="A125" s="1" t="s">
        <v>672</v>
      </c>
      <c r="B125" s="1" t="s">
        <v>635</v>
      </c>
      <c r="F125" s="1" t="s">
        <v>658</v>
      </c>
      <c r="G125" s="1" t="s">
        <v>659</v>
      </c>
      <c r="K125" s="1" t="s">
        <v>37</v>
      </c>
      <c r="L125" s="1" t="s">
        <v>697</v>
      </c>
      <c r="M125" s="6">
        <f>EXP(2.3392)/1000</f>
        <v>1.037293489459167E-2</v>
      </c>
      <c r="N125" s="6"/>
      <c r="O125" s="6">
        <v>2.9834999999999998</v>
      </c>
      <c r="P125" s="6"/>
      <c r="R125" s="5">
        <v>241</v>
      </c>
      <c r="S125" s="6">
        <v>0.32</v>
      </c>
      <c r="T125" s="6">
        <v>1.1599999999999999</v>
      </c>
      <c r="U125" s="6"/>
      <c r="V125" s="6"/>
      <c r="W125" s="6"/>
      <c r="X125" s="6"/>
      <c r="Y125" s="1" t="s">
        <v>662</v>
      </c>
      <c r="Z125" s="1" t="s">
        <v>669</v>
      </c>
      <c r="AA125" s="1" t="s">
        <v>670</v>
      </c>
    </row>
    <row r="126" spans="1:27" ht="14.5" x14ac:dyDescent="0.35">
      <c r="A126" s="1" t="s">
        <v>73</v>
      </c>
      <c r="B126" t="s">
        <v>33</v>
      </c>
      <c r="D126" t="s">
        <v>486</v>
      </c>
      <c r="F126" t="s">
        <v>534</v>
      </c>
      <c r="G126" t="s">
        <v>543</v>
      </c>
      <c r="K126" s="1" t="s">
        <v>37</v>
      </c>
      <c r="L126" s="1" t="s">
        <v>548</v>
      </c>
      <c r="M126">
        <v>6.2199090159425728E-3</v>
      </c>
      <c r="N126"/>
      <c r="O126">
        <v>3.76</v>
      </c>
      <c r="P126"/>
      <c r="Q126" s="17">
        <v>0.8</v>
      </c>
      <c r="R126">
        <v>5</v>
      </c>
      <c r="S126">
        <v>6</v>
      </c>
      <c r="T126">
        <v>22</v>
      </c>
      <c r="U126" s="6"/>
      <c r="V126" s="6"/>
      <c r="W126" s="6" t="s">
        <v>549</v>
      </c>
      <c r="X126" s="6" t="s">
        <v>550</v>
      </c>
      <c r="Y126" t="s">
        <v>551</v>
      </c>
    </row>
    <row r="127" spans="1:27" x14ac:dyDescent="0.3">
      <c r="A127" s="1" t="s">
        <v>33</v>
      </c>
      <c r="B127" s="1" t="s">
        <v>17</v>
      </c>
      <c r="D127" s="1" t="s">
        <v>18</v>
      </c>
      <c r="F127" s="1" t="s">
        <v>19</v>
      </c>
      <c r="G127" s="1" t="s">
        <v>34</v>
      </c>
      <c r="K127" s="1" t="s">
        <v>36</v>
      </c>
      <c r="L127" s="1" t="s">
        <v>45</v>
      </c>
      <c r="M127" s="3">
        <v>8.9999999999999993E-3</v>
      </c>
      <c r="N127" s="3">
        <v>1.1000000000000001E-3</v>
      </c>
      <c r="O127" s="3">
        <v>3.5209999999999999</v>
      </c>
      <c r="P127" s="3">
        <v>0.05</v>
      </c>
      <c r="R127" s="5">
        <v>33</v>
      </c>
      <c r="S127" s="2">
        <v>5.2</v>
      </c>
      <c r="T127" s="2">
        <v>38.1</v>
      </c>
      <c r="U127" s="6">
        <v>30.6</v>
      </c>
      <c r="V127" s="6">
        <v>1.6</v>
      </c>
      <c r="W127" s="6" t="s">
        <v>9</v>
      </c>
      <c r="X127" s="1" t="s">
        <v>451</v>
      </c>
      <c r="Y127" s="1" t="s">
        <v>55</v>
      </c>
      <c r="Z127" s="1" t="s">
        <v>284</v>
      </c>
      <c r="AA127" s="6" t="s">
        <v>361</v>
      </c>
    </row>
    <row r="128" spans="1:27" x14ac:dyDescent="0.3">
      <c r="A128" s="1" t="s">
        <v>33</v>
      </c>
      <c r="B128" s="1" t="s">
        <v>17</v>
      </c>
      <c r="D128" s="1" t="s">
        <v>18</v>
      </c>
      <c r="F128" s="1" t="s">
        <v>38</v>
      </c>
      <c r="G128" s="1" t="s">
        <v>20</v>
      </c>
      <c r="I128" s="1" t="s">
        <v>43</v>
      </c>
      <c r="K128" s="1" t="s">
        <v>37</v>
      </c>
      <c r="L128" s="1" t="s">
        <v>45</v>
      </c>
      <c r="M128" s="3">
        <v>8.8999999999999999E-3</v>
      </c>
      <c r="N128" s="3"/>
      <c r="O128" s="3">
        <v>3.83</v>
      </c>
      <c r="P128" s="3"/>
      <c r="R128" s="5"/>
      <c r="S128" s="2"/>
      <c r="T128" s="2"/>
      <c r="U128" s="6"/>
      <c r="V128" s="6"/>
      <c r="W128" s="6" t="s">
        <v>21</v>
      </c>
      <c r="X128" s="1" t="s">
        <v>451</v>
      </c>
      <c r="Y128" s="1" t="s">
        <v>53</v>
      </c>
      <c r="Z128" s="1" t="s">
        <v>284</v>
      </c>
      <c r="AA128" s="6" t="s">
        <v>361</v>
      </c>
    </row>
    <row r="129" spans="1:27" x14ac:dyDescent="0.3">
      <c r="A129" s="1" t="s">
        <v>33</v>
      </c>
      <c r="B129" s="1" t="s">
        <v>17</v>
      </c>
      <c r="D129" s="1" t="s">
        <v>18</v>
      </c>
      <c r="F129" s="1" t="s">
        <v>38</v>
      </c>
      <c r="G129" s="1" t="s">
        <v>20</v>
      </c>
      <c r="I129" s="1" t="s">
        <v>44</v>
      </c>
      <c r="K129" s="1" t="s">
        <v>37</v>
      </c>
      <c r="L129" s="1" t="s">
        <v>45</v>
      </c>
      <c r="M129" s="3">
        <v>2.5100000000000001E-2</v>
      </c>
      <c r="N129" s="3"/>
      <c r="O129" s="3">
        <v>3.3380000000000001</v>
      </c>
      <c r="P129" s="3"/>
      <c r="R129" s="5"/>
      <c r="S129" s="2"/>
      <c r="T129" s="2"/>
      <c r="U129" s="6"/>
      <c r="V129" s="6"/>
      <c r="W129" s="6" t="s">
        <v>21</v>
      </c>
      <c r="X129" s="1" t="s">
        <v>451</v>
      </c>
      <c r="Y129" s="1" t="s">
        <v>53</v>
      </c>
      <c r="Z129" s="1" t="s">
        <v>284</v>
      </c>
      <c r="AA129" s="6" t="s">
        <v>361</v>
      </c>
    </row>
    <row r="130" spans="1:27" x14ac:dyDescent="0.3">
      <c r="A130" s="1" t="s">
        <v>33</v>
      </c>
      <c r="B130" s="1" t="s">
        <v>17</v>
      </c>
      <c r="D130" s="1" t="s">
        <v>18</v>
      </c>
      <c r="F130" s="1" t="s">
        <v>38</v>
      </c>
      <c r="G130" s="1">
        <v>0.158</v>
      </c>
      <c r="I130" s="1" t="s">
        <v>43</v>
      </c>
      <c r="K130" s="1" t="s">
        <v>37</v>
      </c>
      <c r="L130" s="1" t="s">
        <v>45</v>
      </c>
      <c r="M130" s="3">
        <v>4.1000000000000003E-3</v>
      </c>
      <c r="N130" s="3"/>
      <c r="O130" s="3">
        <v>4.0659999999999998</v>
      </c>
      <c r="P130" s="3"/>
      <c r="R130" s="5">
        <v>41</v>
      </c>
      <c r="S130" s="2"/>
      <c r="T130" s="2"/>
      <c r="U130" s="6"/>
      <c r="V130" s="6"/>
      <c r="W130" s="6" t="s">
        <v>23</v>
      </c>
      <c r="X130" s="1" t="s">
        <v>451</v>
      </c>
      <c r="Y130" s="1" t="s">
        <v>54</v>
      </c>
      <c r="Z130" s="1" t="s">
        <v>284</v>
      </c>
      <c r="AA130" s="6" t="s">
        <v>361</v>
      </c>
    </row>
    <row r="131" spans="1:27" x14ac:dyDescent="0.3">
      <c r="A131" s="1" t="s">
        <v>33</v>
      </c>
      <c r="B131" s="1" t="s">
        <v>17</v>
      </c>
      <c r="D131" s="1" t="s">
        <v>18</v>
      </c>
      <c r="F131" s="1" t="s">
        <v>38</v>
      </c>
      <c r="G131" s="1" t="s">
        <v>22</v>
      </c>
      <c r="I131" s="1" t="s">
        <v>44</v>
      </c>
      <c r="K131" s="1" t="s">
        <v>37</v>
      </c>
      <c r="L131" s="1" t="s">
        <v>45</v>
      </c>
      <c r="M131" s="3">
        <v>7.3000000000000001E-3</v>
      </c>
      <c r="N131" s="3"/>
      <c r="O131" s="3">
        <v>3.847</v>
      </c>
      <c r="P131" s="3"/>
      <c r="R131" s="5">
        <v>41</v>
      </c>
      <c r="S131" s="2"/>
      <c r="T131" s="2"/>
      <c r="U131" s="6"/>
      <c r="V131" s="6"/>
      <c r="W131" s="6" t="s">
        <v>23</v>
      </c>
      <c r="X131" s="1" t="s">
        <v>451</v>
      </c>
      <c r="Y131" s="1" t="s">
        <v>54</v>
      </c>
      <c r="Z131" s="1" t="s">
        <v>284</v>
      </c>
      <c r="AA131" s="6" t="s">
        <v>361</v>
      </c>
    </row>
    <row r="132" spans="1:27" x14ac:dyDescent="0.3">
      <c r="A132" s="1" t="s">
        <v>33</v>
      </c>
      <c r="B132" s="1" t="s">
        <v>17</v>
      </c>
      <c r="D132" s="1" t="s">
        <v>18</v>
      </c>
      <c r="F132" s="1" t="s">
        <v>38</v>
      </c>
      <c r="G132" s="1" t="s">
        <v>22</v>
      </c>
      <c r="I132" s="1" t="s">
        <v>43</v>
      </c>
      <c r="K132" s="1" t="s">
        <v>37</v>
      </c>
      <c r="L132" s="1" t="s">
        <v>45</v>
      </c>
      <c r="M132" s="3">
        <v>9.5999999999999992E-3</v>
      </c>
      <c r="N132" s="3"/>
      <c r="O132" s="3">
        <v>3.7530000000000001</v>
      </c>
      <c r="P132" s="3"/>
      <c r="R132" s="5">
        <v>28</v>
      </c>
      <c r="S132" s="2"/>
      <c r="T132" s="2"/>
      <c r="U132" s="6"/>
      <c r="V132" s="6"/>
      <c r="W132" s="6" t="s">
        <v>23</v>
      </c>
      <c r="X132" s="1" t="s">
        <v>451</v>
      </c>
      <c r="Y132" s="1" t="s">
        <v>54</v>
      </c>
      <c r="Z132" s="1" t="s">
        <v>284</v>
      </c>
      <c r="AA132" s="6" t="s">
        <v>361</v>
      </c>
    </row>
    <row r="133" spans="1:27" x14ac:dyDescent="0.3">
      <c r="A133" s="1" t="s">
        <v>33</v>
      </c>
      <c r="B133" s="1" t="s">
        <v>17</v>
      </c>
      <c r="D133" s="1" t="s">
        <v>18</v>
      </c>
      <c r="F133" s="1" t="s">
        <v>38</v>
      </c>
      <c r="G133" s="1" t="s">
        <v>22</v>
      </c>
      <c r="I133" s="1" t="s">
        <v>44</v>
      </c>
      <c r="K133" s="1" t="s">
        <v>37</v>
      </c>
      <c r="L133" s="1" t="s">
        <v>45</v>
      </c>
      <c r="M133" s="3">
        <v>3.0700000000000002E-2</v>
      </c>
      <c r="N133" s="3"/>
      <c r="O133" s="3">
        <v>3.3570000000000002</v>
      </c>
      <c r="P133" s="3"/>
      <c r="R133" s="5">
        <v>41</v>
      </c>
      <c r="S133" s="2"/>
      <c r="T133" s="2"/>
      <c r="U133" s="6"/>
      <c r="V133" s="6"/>
      <c r="W133" s="6" t="s">
        <v>23</v>
      </c>
      <c r="X133" s="1" t="s">
        <v>451</v>
      </c>
      <c r="Y133" s="1" t="s">
        <v>54</v>
      </c>
      <c r="Z133" s="1" t="s">
        <v>284</v>
      </c>
      <c r="AA133" s="6" t="s">
        <v>361</v>
      </c>
    </row>
    <row r="134" spans="1:27" x14ac:dyDescent="0.3">
      <c r="A134" s="1" t="s">
        <v>33</v>
      </c>
      <c r="B134" s="1" t="s">
        <v>17</v>
      </c>
      <c r="D134" s="1" t="s">
        <v>18</v>
      </c>
      <c r="F134" s="1" t="s">
        <v>38</v>
      </c>
      <c r="G134" s="1" t="s">
        <v>24</v>
      </c>
      <c r="I134" s="1" t="s">
        <v>43</v>
      </c>
      <c r="K134" s="1" t="s">
        <v>37</v>
      </c>
      <c r="L134" s="1" t="s">
        <v>45</v>
      </c>
      <c r="M134" s="3">
        <v>0.02</v>
      </c>
      <c r="N134" s="3"/>
      <c r="O134" s="3">
        <v>3.44</v>
      </c>
      <c r="P134" s="3"/>
      <c r="R134" s="5"/>
      <c r="S134" s="2"/>
      <c r="T134" s="2"/>
      <c r="U134" s="6"/>
      <c r="V134" s="6"/>
      <c r="W134" s="6" t="s">
        <v>21</v>
      </c>
      <c r="X134" s="1" t="s">
        <v>451</v>
      </c>
      <c r="Y134" s="1" t="s">
        <v>53</v>
      </c>
      <c r="Z134" s="1" t="s">
        <v>284</v>
      </c>
      <c r="AA134" s="6" t="s">
        <v>361</v>
      </c>
    </row>
    <row r="135" spans="1:27" x14ac:dyDescent="0.3">
      <c r="A135" s="1" t="s">
        <v>33</v>
      </c>
      <c r="B135" s="1" t="s">
        <v>17</v>
      </c>
      <c r="D135" s="1" t="s">
        <v>18</v>
      </c>
      <c r="F135" s="1" t="s">
        <v>38</v>
      </c>
      <c r="G135" s="1" t="s">
        <v>24</v>
      </c>
      <c r="I135" s="1" t="s">
        <v>44</v>
      </c>
      <c r="K135" s="1" t="s">
        <v>37</v>
      </c>
      <c r="L135" s="1" t="s">
        <v>45</v>
      </c>
      <c r="M135" s="3">
        <v>1.7399999999999999E-2</v>
      </c>
      <c r="N135" s="3"/>
      <c r="O135" s="3">
        <v>3.44</v>
      </c>
      <c r="P135" s="3"/>
      <c r="R135" s="5"/>
      <c r="S135" s="2"/>
      <c r="T135" s="2"/>
      <c r="U135" s="6"/>
      <c r="V135" s="6"/>
      <c r="W135" s="6" t="s">
        <v>21</v>
      </c>
      <c r="X135" s="1" t="s">
        <v>451</v>
      </c>
      <c r="Y135" s="1" t="s">
        <v>53</v>
      </c>
      <c r="Z135" s="1" t="s">
        <v>284</v>
      </c>
      <c r="AA135" s="6" t="s">
        <v>361</v>
      </c>
    </row>
    <row r="136" spans="1:27" x14ac:dyDescent="0.3">
      <c r="A136" s="1" t="s">
        <v>33</v>
      </c>
      <c r="B136" s="1" t="s">
        <v>17</v>
      </c>
      <c r="D136" s="1" t="s">
        <v>5</v>
      </c>
      <c r="F136" s="1" t="s">
        <v>25</v>
      </c>
      <c r="G136" s="1" t="s">
        <v>28</v>
      </c>
      <c r="H136" s="1" t="s">
        <v>27</v>
      </c>
      <c r="I136" s="1" t="s">
        <v>43</v>
      </c>
      <c r="K136" s="1" t="s">
        <v>37</v>
      </c>
      <c r="M136" s="3">
        <v>8.3999999999999995E-3</v>
      </c>
      <c r="N136" s="7"/>
      <c r="O136" s="3">
        <v>3.5920000000000001</v>
      </c>
      <c r="P136" s="3"/>
      <c r="R136" s="5"/>
      <c r="S136" s="2"/>
      <c r="T136" s="2"/>
      <c r="U136" s="6"/>
      <c r="V136" s="6"/>
      <c r="W136" s="6" t="s">
        <v>26</v>
      </c>
      <c r="X136" s="1" t="s">
        <v>451</v>
      </c>
      <c r="Y136" s="1" t="s">
        <v>56</v>
      </c>
      <c r="Z136" s="1" t="s">
        <v>284</v>
      </c>
      <c r="AA136" s="6" t="s">
        <v>361</v>
      </c>
    </row>
    <row r="137" spans="1:27" x14ac:dyDescent="0.3">
      <c r="A137" s="1" t="s">
        <v>33</v>
      </c>
      <c r="B137" s="1" t="s">
        <v>17</v>
      </c>
      <c r="D137" s="1" t="s">
        <v>5</v>
      </c>
      <c r="F137" s="1" t="s">
        <v>38</v>
      </c>
      <c r="G137" s="1" t="s">
        <v>28</v>
      </c>
      <c r="H137" s="1" t="s">
        <v>27</v>
      </c>
      <c r="I137" s="1" t="s">
        <v>44</v>
      </c>
      <c r="K137" s="1" t="s">
        <v>37</v>
      </c>
      <c r="M137" s="3">
        <v>2.5100000000000001E-2</v>
      </c>
      <c r="N137" s="7"/>
      <c r="O137" s="3">
        <v>3.073</v>
      </c>
      <c r="P137" s="3"/>
      <c r="R137" s="5"/>
      <c r="S137" s="2"/>
      <c r="T137" s="2"/>
      <c r="U137" s="6"/>
      <c r="V137" s="6"/>
      <c r="W137" s="6" t="s">
        <v>26</v>
      </c>
      <c r="X137" s="1" t="s">
        <v>451</v>
      </c>
      <c r="Y137" s="1" t="s">
        <v>56</v>
      </c>
      <c r="Z137" s="1" t="s">
        <v>284</v>
      </c>
      <c r="AA137" s="6" t="s">
        <v>361</v>
      </c>
    </row>
    <row r="138" spans="1:27" x14ac:dyDescent="0.3">
      <c r="A138" s="1" t="s">
        <v>73</v>
      </c>
      <c r="B138" s="1" t="s">
        <v>364</v>
      </c>
      <c r="D138" s="1" t="s">
        <v>365</v>
      </c>
      <c r="F138" s="1" t="s">
        <v>366</v>
      </c>
      <c r="K138" s="1" t="s">
        <v>36</v>
      </c>
      <c r="M138" s="3">
        <v>3.8E-3</v>
      </c>
      <c r="N138" s="3">
        <v>2.2000000000000001E-3</v>
      </c>
      <c r="O138" s="3">
        <v>2.5859999999999999</v>
      </c>
      <c r="P138" s="3">
        <v>0.27900000000000003</v>
      </c>
      <c r="Q138" s="4">
        <v>0.79</v>
      </c>
      <c r="R138" s="5">
        <v>24</v>
      </c>
      <c r="S138" s="2">
        <v>3.3</v>
      </c>
      <c r="T138" s="2">
        <v>15.8</v>
      </c>
      <c r="U138" s="6">
        <v>4.8</v>
      </c>
      <c r="V138" s="6">
        <v>0.3</v>
      </c>
      <c r="W138" s="6" t="s">
        <v>96</v>
      </c>
      <c r="X138" s="1" t="s">
        <v>451</v>
      </c>
      <c r="Y138" s="1" t="s">
        <v>10</v>
      </c>
      <c r="Z138" s="1" t="s">
        <v>284</v>
      </c>
      <c r="AA138" s="6" t="s">
        <v>361</v>
      </c>
    </row>
    <row r="139" spans="1:27" x14ac:dyDescent="0.3">
      <c r="A139" s="1" t="s">
        <v>73</v>
      </c>
      <c r="B139" s="1" t="s">
        <v>364</v>
      </c>
      <c r="D139" s="1" t="s">
        <v>367</v>
      </c>
      <c r="F139" s="1" t="s">
        <v>368</v>
      </c>
      <c r="K139" s="1" t="s">
        <v>36</v>
      </c>
      <c r="M139" s="3">
        <v>6.4000000000000003E-3</v>
      </c>
      <c r="N139" s="3">
        <v>1.5E-3</v>
      </c>
      <c r="O139" s="3">
        <v>3.2919999999999998</v>
      </c>
      <c r="P139" s="3">
        <v>0.188</v>
      </c>
      <c r="Q139" s="4">
        <v>0.98</v>
      </c>
      <c r="R139" s="5">
        <v>8</v>
      </c>
      <c r="S139" s="2">
        <v>0.9</v>
      </c>
      <c r="T139" s="2">
        <v>4.7</v>
      </c>
      <c r="U139" s="6">
        <v>4.3</v>
      </c>
      <c r="V139" s="6">
        <v>0.6</v>
      </c>
      <c r="W139" s="6" t="s">
        <v>96</v>
      </c>
      <c r="X139" s="1" t="s">
        <v>451</v>
      </c>
      <c r="Y139" s="1" t="s">
        <v>10</v>
      </c>
      <c r="Z139" s="1" t="s">
        <v>284</v>
      </c>
      <c r="AA139" s="6" t="s">
        <v>361</v>
      </c>
    </row>
    <row r="140" spans="1:27" x14ac:dyDescent="0.3">
      <c r="A140" s="1" t="s">
        <v>73</v>
      </c>
      <c r="B140" s="1" t="s">
        <v>364</v>
      </c>
      <c r="D140" s="1" t="s">
        <v>369</v>
      </c>
      <c r="K140" s="1" t="s">
        <v>37</v>
      </c>
      <c r="M140" s="3">
        <v>2.2000000000000001E-4</v>
      </c>
      <c r="N140" s="3">
        <v>3.0000000000000001E-5</v>
      </c>
      <c r="O140" s="3">
        <v>2.871</v>
      </c>
      <c r="P140" s="3">
        <v>0.255</v>
      </c>
      <c r="Q140" s="4">
        <v>0.91</v>
      </c>
      <c r="R140" s="5">
        <v>15</v>
      </c>
      <c r="S140" s="2">
        <v>2.2000000000000002</v>
      </c>
      <c r="T140" s="2">
        <v>10.8</v>
      </c>
      <c r="U140" s="6"/>
      <c r="V140" s="6"/>
      <c r="W140" s="6" t="s">
        <v>96</v>
      </c>
      <c r="X140" s="1" t="s">
        <v>451</v>
      </c>
      <c r="Y140" s="1" t="s">
        <v>98</v>
      </c>
      <c r="Z140" s="1" t="s">
        <v>284</v>
      </c>
      <c r="AA140" s="6" t="s">
        <v>361</v>
      </c>
    </row>
    <row r="141" spans="1:27" x14ac:dyDescent="0.3">
      <c r="A141" s="1" t="s">
        <v>73</v>
      </c>
      <c r="B141" s="1" t="s">
        <v>364</v>
      </c>
      <c r="D141" s="1" t="s">
        <v>369</v>
      </c>
      <c r="F141" s="1" t="s">
        <v>370</v>
      </c>
      <c r="K141" s="1" t="s">
        <v>37</v>
      </c>
      <c r="M141" s="3">
        <v>3.3E-3</v>
      </c>
      <c r="N141" s="3">
        <v>2.0000000000000001E-4</v>
      </c>
      <c r="O141" s="3">
        <v>2.3919999999999999</v>
      </c>
      <c r="P141" s="3">
        <v>0.16300000000000001</v>
      </c>
      <c r="Q141" s="4">
        <v>0.66</v>
      </c>
      <c r="R141" s="5">
        <v>18</v>
      </c>
      <c r="S141" s="2">
        <v>1</v>
      </c>
      <c r="T141" s="2">
        <v>7.3</v>
      </c>
      <c r="U141" s="6"/>
      <c r="V141" s="6"/>
      <c r="W141" s="6" t="s">
        <v>9</v>
      </c>
      <c r="X141" s="1" t="s">
        <v>451</v>
      </c>
      <c r="Y141" s="1" t="s">
        <v>241</v>
      </c>
      <c r="Z141" s="1" t="s">
        <v>284</v>
      </c>
      <c r="AA141" s="6" t="s">
        <v>361</v>
      </c>
    </row>
    <row r="142" spans="1:27" x14ac:dyDescent="0.3">
      <c r="A142" s="1" t="s">
        <v>73</v>
      </c>
      <c r="B142" s="1" t="s">
        <v>364</v>
      </c>
      <c r="D142" s="1" t="s">
        <v>369</v>
      </c>
      <c r="F142" s="1" t="s">
        <v>370</v>
      </c>
      <c r="K142" s="1" t="s">
        <v>37</v>
      </c>
      <c r="M142" s="3">
        <v>3.8999999999999998E-3</v>
      </c>
      <c r="N142" s="3">
        <v>6.9999999999999999E-4</v>
      </c>
      <c r="O142" s="3">
        <v>2.1440000000000001</v>
      </c>
      <c r="P142" s="6">
        <v>0.53100000000000003</v>
      </c>
      <c r="Q142" s="4">
        <v>0.71</v>
      </c>
      <c r="R142" s="5">
        <v>33</v>
      </c>
      <c r="S142" s="2">
        <v>1.4</v>
      </c>
      <c r="T142" s="2">
        <v>7</v>
      </c>
      <c r="U142" s="6"/>
      <c r="V142" s="6"/>
      <c r="W142" s="6" t="s">
        <v>14</v>
      </c>
      <c r="X142" s="1" t="s">
        <v>451</v>
      </c>
      <c r="Y142" s="1" t="s">
        <v>15</v>
      </c>
      <c r="Z142" s="1" t="s">
        <v>284</v>
      </c>
      <c r="AA142" s="6" t="s">
        <v>361</v>
      </c>
    </row>
    <row r="143" spans="1:27" x14ac:dyDescent="0.3">
      <c r="A143" s="1" t="s">
        <v>73</v>
      </c>
      <c r="B143" s="1" t="s">
        <v>364</v>
      </c>
      <c r="D143" s="1" t="s">
        <v>371</v>
      </c>
      <c r="K143" s="1" t="s">
        <v>36</v>
      </c>
      <c r="M143" s="3">
        <v>5.9999999999999995E-4</v>
      </c>
      <c r="N143" s="3"/>
      <c r="O143" s="3">
        <v>2.77</v>
      </c>
      <c r="P143" s="6"/>
      <c r="Q143" s="4">
        <v>0.86</v>
      </c>
      <c r="R143" s="5">
        <v>91</v>
      </c>
      <c r="S143" s="2">
        <v>0.9</v>
      </c>
      <c r="T143" s="2">
        <v>12.1</v>
      </c>
      <c r="U143" s="6"/>
      <c r="V143" s="6"/>
      <c r="W143" s="6" t="s">
        <v>9</v>
      </c>
      <c r="X143" s="1" t="s">
        <v>451</v>
      </c>
      <c r="Y143" s="1" t="s">
        <v>10</v>
      </c>
      <c r="Z143" s="1" t="s">
        <v>284</v>
      </c>
      <c r="AA143" s="6" t="s">
        <v>361</v>
      </c>
    </row>
    <row r="144" spans="1:27" x14ac:dyDescent="0.3">
      <c r="A144" s="1" t="s">
        <v>73</v>
      </c>
      <c r="B144" s="1" t="s">
        <v>364</v>
      </c>
      <c r="D144" s="1" t="s">
        <v>371</v>
      </c>
      <c r="E144" s="1" t="s">
        <v>372</v>
      </c>
      <c r="K144" s="1" t="s">
        <v>37</v>
      </c>
      <c r="M144" s="3">
        <v>5.8999999999999999E-3</v>
      </c>
      <c r="N144" s="3">
        <v>8.9999999999999998E-4</v>
      </c>
      <c r="O144" s="3">
        <v>2.0990000000000002</v>
      </c>
      <c r="P144" s="3">
        <v>0.23499999999999999</v>
      </c>
      <c r="Q144" s="4">
        <v>0.88</v>
      </c>
      <c r="R144" s="5">
        <v>50</v>
      </c>
      <c r="S144" s="2">
        <v>1.7</v>
      </c>
      <c r="T144" s="2">
        <v>10.8</v>
      </c>
      <c r="U144" s="6"/>
      <c r="V144" s="6"/>
      <c r="W144" s="6" t="s">
        <v>14</v>
      </c>
      <c r="X144" s="1" t="s">
        <v>451</v>
      </c>
      <c r="Y144" s="1" t="s">
        <v>15</v>
      </c>
      <c r="Z144" s="1" t="s">
        <v>284</v>
      </c>
      <c r="AA144" s="6" t="s">
        <v>361</v>
      </c>
    </row>
    <row r="145" spans="1:27" x14ac:dyDescent="0.3">
      <c r="A145" s="1" t="s">
        <v>73</v>
      </c>
      <c r="B145" s="1" t="s">
        <v>364</v>
      </c>
      <c r="D145" s="1" t="s">
        <v>371</v>
      </c>
      <c r="E145" s="1" t="s">
        <v>374</v>
      </c>
      <c r="K145" s="1" t="s">
        <v>37</v>
      </c>
      <c r="M145" s="3">
        <v>5.1000000000000004E-3</v>
      </c>
      <c r="N145" s="3">
        <v>4.0000000000000002E-4</v>
      </c>
      <c r="O145" s="3">
        <v>2.3220000000000001</v>
      </c>
      <c r="P145" s="3">
        <v>0.124</v>
      </c>
      <c r="Q145" s="4">
        <v>0.88</v>
      </c>
      <c r="R145" s="5">
        <v>61</v>
      </c>
      <c r="S145" s="2">
        <v>1.8</v>
      </c>
      <c r="T145" s="2">
        <v>7.3</v>
      </c>
      <c r="U145" s="6"/>
      <c r="V145" s="6"/>
      <c r="W145" s="6" t="s">
        <v>9</v>
      </c>
      <c r="X145" s="1" t="s">
        <v>451</v>
      </c>
      <c r="Y145" s="1" t="s">
        <v>241</v>
      </c>
      <c r="Z145" s="1" t="s">
        <v>284</v>
      </c>
      <c r="AA145" s="6" t="s">
        <v>361</v>
      </c>
    </row>
    <row r="146" spans="1:27" x14ac:dyDescent="0.3">
      <c r="A146" s="1" t="s">
        <v>73</v>
      </c>
      <c r="B146" s="1" t="s">
        <v>364</v>
      </c>
      <c r="D146" s="1" t="s">
        <v>371</v>
      </c>
      <c r="E146" s="1" t="s">
        <v>375</v>
      </c>
      <c r="K146" s="1" t="s">
        <v>37</v>
      </c>
      <c r="M146" s="3">
        <v>6.9999999999999999E-4</v>
      </c>
      <c r="N146" s="3">
        <v>9.0000000000000006E-5</v>
      </c>
      <c r="O146" s="3">
        <v>2.952</v>
      </c>
      <c r="P146" s="3">
        <v>0.11799999999999999</v>
      </c>
      <c r="Q146" s="4">
        <v>0.93</v>
      </c>
      <c r="R146" s="5">
        <v>51</v>
      </c>
      <c r="S146" s="2">
        <v>1</v>
      </c>
      <c r="T146" s="2">
        <v>6.7</v>
      </c>
      <c r="U146" s="6"/>
      <c r="V146" s="6"/>
      <c r="W146" s="6" t="s">
        <v>96</v>
      </c>
      <c r="X146" s="1" t="s">
        <v>451</v>
      </c>
      <c r="Y146" s="1" t="s">
        <v>98</v>
      </c>
      <c r="Z146" s="1" t="s">
        <v>284</v>
      </c>
      <c r="AA146" s="6" t="s">
        <v>361</v>
      </c>
    </row>
    <row r="147" spans="1:27" x14ac:dyDescent="0.3">
      <c r="A147" s="1" t="s">
        <v>73</v>
      </c>
      <c r="B147" s="1" t="s">
        <v>364</v>
      </c>
      <c r="D147" s="1" t="s">
        <v>371</v>
      </c>
      <c r="F147" s="1" t="s">
        <v>376</v>
      </c>
      <c r="G147" s="1" t="s">
        <v>377</v>
      </c>
      <c r="K147" s="1" t="s">
        <v>37</v>
      </c>
      <c r="M147" s="3">
        <v>8.3000000000000001E-4</v>
      </c>
      <c r="N147" s="3"/>
      <c r="O147" s="3">
        <v>2.86</v>
      </c>
      <c r="P147" s="3"/>
      <c r="Q147" s="4">
        <v>0.96</v>
      </c>
      <c r="R147" s="5">
        <v>105</v>
      </c>
      <c r="S147" s="2"/>
      <c r="T147" s="2"/>
      <c r="U147" s="6"/>
      <c r="V147" s="6"/>
      <c r="W147" s="6" t="s">
        <v>95</v>
      </c>
      <c r="X147" s="1" t="s">
        <v>451</v>
      </c>
      <c r="Y147" s="1" t="s">
        <v>411</v>
      </c>
      <c r="Z147" s="1" t="s">
        <v>284</v>
      </c>
      <c r="AA147" s="6" t="s">
        <v>361</v>
      </c>
    </row>
    <row r="148" spans="1:27" x14ac:dyDescent="0.3">
      <c r="A148" s="1" t="s">
        <v>73</v>
      </c>
      <c r="B148" s="1" t="s">
        <v>364</v>
      </c>
      <c r="D148" s="1" t="s">
        <v>371</v>
      </c>
      <c r="F148" s="1" t="s">
        <v>376</v>
      </c>
      <c r="K148" s="1" t="s">
        <v>37</v>
      </c>
      <c r="M148" s="3">
        <v>6.8000000000000005E-4</v>
      </c>
      <c r="N148" s="3">
        <v>4.0000000000000003E-5</v>
      </c>
      <c r="O148" s="3">
        <v>2.62</v>
      </c>
      <c r="P148" s="3">
        <v>0.112</v>
      </c>
      <c r="Q148" s="4">
        <v>0.96</v>
      </c>
      <c r="R148" s="5">
        <v>26</v>
      </c>
      <c r="S148" s="2">
        <v>2</v>
      </c>
      <c r="T148" s="2">
        <v>13.7</v>
      </c>
      <c r="U148" s="6"/>
      <c r="V148" s="6"/>
      <c r="W148" s="6" t="s">
        <v>96</v>
      </c>
      <c r="X148" s="1" t="s">
        <v>451</v>
      </c>
      <c r="Y148" s="1" t="s">
        <v>98</v>
      </c>
      <c r="Z148" s="1" t="s">
        <v>284</v>
      </c>
      <c r="AA148" s="6" t="s">
        <v>361</v>
      </c>
    </row>
    <row r="149" spans="1:27" x14ac:dyDescent="0.3">
      <c r="A149" s="1" t="s">
        <v>73</v>
      </c>
      <c r="B149" s="1" t="s">
        <v>364</v>
      </c>
      <c r="D149" s="1" t="s">
        <v>371</v>
      </c>
      <c r="F149" s="1" t="s">
        <v>378</v>
      </c>
      <c r="K149" s="1" t="s">
        <v>37</v>
      </c>
      <c r="M149" s="3">
        <v>1E-3</v>
      </c>
      <c r="N149" s="3">
        <v>8.0000000000000007E-5</v>
      </c>
      <c r="O149" s="3">
        <v>2.6059999999999999</v>
      </c>
      <c r="P149" s="3">
        <v>0.189</v>
      </c>
      <c r="Q149" s="4">
        <v>0.94</v>
      </c>
      <c r="R149" s="5">
        <v>15</v>
      </c>
      <c r="S149" s="2">
        <v>1</v>
      </c>
      <c r="T149" s="2">
        <v>4.5999999999999996</v>
      </c>
      <c r="U149" s="6"/>
      <c r="V149" s="6"/>
      <c r="W149" s="6" t="s">
        <v>96</v>
      </c>
      <c r="X149" s="1" t="s">
        <v>451</v>
      </c>
      <c r="Y149" s="1" t="s">
        <v>98</v>
      </c>
      <c r="Z149" s="1" t="s">
        <v>284</v>
      </c>
      <c r="AA149" s="6" t="s">
        <v>361</v>
      </c>
    </row>
    <row r="150" spans="1:27" x14ac:dyDescent="0.3">
      <c r="A150" s="1" t="s">
        <v>73</v>
      </c>
      <c r="B150" s="1" t="s">
        <v>364</v>
      </c>
      <c r="D150" s="1" t="s">
        <v>371</v>
      </c>
      <c r="F150" s="1" t="s">
        <v>379</v>
      </c>
      <c r="K150" s="1" t="s">
        <v>37</v>
      </c>
      <c r="M150" s="3">
        <v>5.9000000000000003E-4</v>
      </c>
      <c r="N150" s="3">
        <v>5.0000000000000002E-5</v>
      </c>
      <c r="O150" s="3">
        <v>3.1419999999999999</v>
      </c>
      <c r="P150" s="3">
        <v>0.312</v>
      </c>
      <c r="Q150" s="4">
        <v>0.87</v>
      </c>
      <c r="R150" s="5">
        <v>17</v>
      </c>
      <c r="S150" s="2">
        <v>2.6</v>
      </c>
      <c r="T150" s="2">
        <v>6.7</v>
      </c>
      <c r="U150" s="6"/>
      <c r="V150" s="6"/>
      <c r="W150" s="6" t="s">
        <v>96</v>
      </c>
      <c r="X150" s="1" t="s">
        <v>451</v>
      </c>
      <c r="Y150" s="1" t="s">
        <v>98</v>
      </c>
      <c r="Z150" s="1" t="s">
        <v>284</v>
      </c>
      <c r="AA150" s="6" t="s">
        <v>361</v>
      </c>
    </row>
    <row r="151" spans="1:27" x14ac:dyDescent="0.3">
      <c r="A151" s="1" t="s">
        <v>73</v>
      </c>
      <c r="B151" s="1" t="s">
        <v>364</v>
      </c>
      <c r="D151" s="1" t="s">
        <v>371</v>
      </c>
      <c r="F151" s="1" t="s">
        <v>380</v>
      </c>
      <c r="K151" s="1" t="s">
        <v>37</v>
      </c>
      <c r="M151" s="3">
        <v>1E-3</v>
      </c>
      <c r="N151" s="3">
        <v>5.0000000000000002E-5</v>
      </c>
      <c r="O151" s="3">
        <v>2.7610000000000001</v>
      </c>
      <c r="P151" s="3">
        <v>0.11</v>
      </c>
      <c r="Q151" s="4">
        <v>0.98</v>
      </c>
      <c r="R151" s="5">
        <v>18</v>
      </c>
      <c r="S151" s="2">
        <v>1.3</v>
      </c>
      <c r="T151" s="2">
        <v>5.7</v>
      </c>
      <c r="U151" s="6"/>
      <c r="V151" s="6"/>
      <c r="W151" s="6" t="s">
        <v>96</v>
      </c>
      <c r="X151" s="1" t="s">
        <v>451</v>
      </c>
      <c r="Y151" s="1" t="s">
        <v>98</v>
      </c>
      <c r="Z151" s="1" t="s">
        <v>284</v>
      </c>
      <c r="AA151" s="6" t="s">
        <v>361</v>
      </c>
    </row>
    <row r="152" spans="1:27" x14ac:dyDescent="0.3">
      <c r="A152" s="1" t="s">
        <v>73</v>
      </c>
      <c r="B152" s="1" t="s">
        <v>364</v>
      </c>
      <c r="D152" s="1" t="s">
        <v>371</v>
      </c>
      <c r="E152" s="1" t="s">
        <v>381</v>
      </c>
      <c r="K152" s="1" t="s">
        <v>37</v>
      </c>
      <c r="M152" s="3">
        <v>8.0000000000000004E-4</v>
      </c>
      <c r="N152" s="3">
        <v>1.1999999999999999E-3</v>
      </c>
      <c r="O152" s="3">
        <v>2.7280000000000002</v>
      </c>
      <c r="P152" s="3">
        <v>0.19700000000000001</v>
      </c>
      <c r="Q152" s="4">
        <v>0.67</v>
      </c>
      <c r="R152" s="5">
        <v>45</v>
      </c>
      <c r="S152" s="2">
        <v>1.3</v>
      </c>
      <c r="T152" s="2">
        <v>5.3</v>
      </c>
      <c r="U152" s="6"/>
      <c r="V152" s="6"/>
      <c r="W152" s="6" t="s">
        <v>14</v>
      </c>
      <c r="X152" s="1" t="s">
        <v>451</v>
      </c>
      <c r="Y152" s="1" t="s">
        <v>15</v>
      </c>
      <c r="Z152" s="1" t="s">
        <v>284</v>
      </c>
      <c r="AA152" s="6" t="s">
        <v>361</v>
      </c>
    </row>
    <row r="153" spans="1:27" x14ac:dyDescent="0.3">
      <c r="A153" s="1" t="s">
        <v>73</v>
      </c>
      <c r="B153" s="1" t="s">
        <v>364</v>
      </c>
      <c r="D153" s="1" t="s">
        <v>371</v>
      </c>
      <c r="F153" s="1" t="s">
        <v>382</v>
      </c>
      <c r="K153" s="1" t="s">
        <v>37</v>
      </c>
      <c r="M153" s="3">
        <v>1.1999999999999999E-3</v>
      </c>
      <c r="N153" s="3">
        <v>1.2999999999999999E-4</v>
      </c>
      <c r="O153" s="3">
        <v>2.294</v>
      </c>
      <c r="P153" s="3">
        <v>0.317</v>
      </c>
      <c r="Q153" s="4">
        <v>0.81</v>
      </c>
      <c r="R153" s="5">
        <v>14</v>
      </c>
      <c r="S153" s="2">
        <v>1.6</v>
      </c>
      <c r="T153" s="2">
        <v>5.8</v>
      </c>
      <c r="U153" s="6"/>
      <c r="V153" s="6"/>
      <c r="W153" s="6" t="s">
        <v>96</v>
      </c>
      <c r="X153" s="1" t="s">
        <v>451</v>
      </c>
      <c r="Y153" s="1" t="s">
        <v>98</v>
      </c>
      <c r="Z153" s="1" t="s">
        <v>284</v>
      </c>
      <c r="AA153" s="6" t="s">
        <v>361</v>
      </c>
    </row>
    <row r="154" spans="1:27" x14ac:dyDescent="0.3">
      <c r="A154" s="1" t="s">
        <v>73</v>
      </c>
      <c r="B154" s="1" t="s">
        <v>364</v>
      </c>
      <c r="D154" s="1" t="s">
        <v>371</v>
      </c>
      <c r="E154" s="1" t="s">
        <v>383</v>
      </c>
      <c r="K154" s="1" t="s">
        <v>37</v>
      </c>
      <c r="M154" s="3">
        <v>2E-3</v>
      </c>
      <c r="N154" s="3">
        <v>5.9999999999999995E-4</v>
      </c>
      <c r="O154" s="3">
        <v>2.254</v>
      </c>
      <c r="P154" s="3">
        <v>0.39600000000000002</v>
      </c>
      <c r="Q154" s="4">
        <v>0.74</v>
      </c>
      <c r="R154" s="5">
        <v>39</v>
      </c>
      <c r="S154" s="2">
        <v>1.6</v>
      </c>
      <c r="T154" s="2">
        <v>5</v>
      </c>
      <c r="U154" s="6"/>
      <c r="V154" s="6"/>
      <c r="W154" s="6" t="s">
        <v>14</v>
      </c>
      <c r="X154" s="1" t="s">
        <v>451</v>
      </c>
      <c r="Y154" s="1" t="s">
        <v>15</v>
      </c>
      <c r="Z154" s="1" t="s">
        <v>284</v>
      </c>
      <c r="AA154" s="6" t="s">
        <v>361</v>
      </c>
    </row>
    <row r="155" spans="1:27" x14ac:dyDescent="0.3">
      <c r="A155" s="1" t="s">
        <v>73</v>
      </c>
      <c r="B155" s="1" t="s">
        <v>364</v>
      </c>
      <c r="D155" s="1" t="s">
        <v>371</v>
      </c>
      <c r="E155" s="1" t="s">
        <v>384</v>
      </c>
      <c r="K155" s="1" t="s">
        <v>37</v>
      </c>
      <c r="M155" s="3">
        <v>2.5999999999999999E-3</v>
      </c>
      <c r="N155" s="3">
        <v>5.0000000000000001E-4</v>
      </c>
      <c r="O155" s="3">
        <v>2.5030000000000001</v>
      </c>
      <c r="P155" s="3">
        <v>0.45800000000000002</v>
      </c>
      <c r="Q155" s="4">
        <v>0.81</v>
      </c>
      <c r="R155" s="5">
        <v>46</v>
      </c>
      <c r="S155" s="2">
        <v>2.2999999999999998</v>
      </c>
      <c r="T155" s="2">
        <v>8.1999999999999993</v>
      </c>
      <c r="U155" s="6"/>
      <c r="V155" s="6"/>
      <c r="W155" s="6" t="s">
        <v>14</v>
      </c>
      <c r="X155" s="1" t="s">
        <v>451</v>
      </c>
      <c r="Y155" s="1" t="s">
        <v>15</v>
      </c>
      <c r="Z155" s="1" t="s">
        <v>284</v>
      </c>
      <c r="AA155" s="6" t="s">
        <v>361</v>
      </c>
    </row>
    <row r="156" spans="1:27" x14ac:dyDescent="0.3">
      <c r="A156" s="1" t="s">
        <v>73</v>
      </c>
      <c r="B156" s="1" t="s">
        <v>364</v>
      </c>
      <c r="D156" s="1" t="s">
        <v>371</v>
      </c>
      <c r="E156" s="1" t="s">
        <v>384</v>
      </c>
      <c r="K156" s="1" t="s">
        <v>37</v>
      </c>
      <c r="M156" s="3">
        <v>3.8E-3</v>
      </c>
      <c r="N156" s="3">
        <v>5.9999999999999995E-4</v>
      </c>
      <c r="O156" s="3">
        <v>2.411</v>
      </c>
      <c r="P156" s="3">
        <v>0.13</v>
      </c>
      <c r="Q156" s="4">
        <v>0.85</v>
      </c>
      <c r="R156" s="5">
        <v>12</v>
      </c>
      <c r="S156" s="2">
        <v>2</v>
      </c>
      <c r="T156" s="2">
        <v>9</v>
      </c>
      <c r="U156" s="6"/>
      <c r="V156" s="6"/>
      <c r="W156" s="6" t="s">
        <v>9</v>
      </c>
      <c r="X156" s="1" t="s">
        <v>451</v>
      </c>
      <c r="Y156" s="1" t="s">
        <v>241</v>
      </c>
      <c r="Z156" s="1" t="s">
        <v>284</v>
      </c>
      <c r="AA156" s="6" t="s">
        <v>361</v>
      </c>
    </row>
    <row r="157" spans="1:27" x14ac:dyDescent="0.3">
      <c r="A157" s="1" t="s">
        <v>73</v>
      </c>
      <c r="B157" s="1" t="s">
        <v>364</v>
      </c>
      <c r="D157" s="1" t="s">
        <v>371</v>
      </c>
      <c r="F157" s="1" t="s">
        <v>385</v>
      </c>
      <c r="K157" s="1" t="s">
        <v>37</v>
      </c>
      <c r="M157" s="3">
        <v>1E-3</v>
      </c>
      <c r="N157" s="3">
        <v>9.0000000000000006E-5</v>
      </c>
      <c r="O157" s="3">
        <v>2.8839999999999999</v>
      </c>
      <c r="P157" s="3">
        <v>0.16600000000000001</v>
      </c>
      <c r="Q157" s="4">
        <v>0.94</v>
      </c>
      <c r="R157" s="5">
        <v>20</v>
      </c>
      <c r="S157" s="2">
        <v>0.8</v>
      </c>
      <c r="T157" s="2">
        <v>7.5</v>
      </c>
      <c r="U157" s="6"/>
      <c r="V157" s="6"/>
      <c r="W157" s="6" t="s">
        <v>96</v>
      </c>
      <c r="X157" s="1" t="s">
        <v>451</v>
      </c>
      <c r="Y157" s="1" t="s">
        <v>98</v>
      </c>
      <c r="Z157" s="1" t="s">
        <v>284</v>
      </c>
      <c r="AA157" s="6" t="s">
        <v>361</v>
      </c>
    </row>
    <row r="158" spans="1:27" x14ac:dyDescent="0.3">
      <c r="A158" s="1" t="s">
        <v>73</v>
      </c>
      <c r="B158" s="1" t="s">
        <v>364</v>
      </c>
      <c r="D158" s="1" t="s">
        <v>371</v>
      </c>
      <c r="F158" s="1" t="s">
        <v>386</v>
      </c>
      <c r="G158" s="1" t="s">
        <v>387</v>
      </c>
      <c r="K158" s="1" t="s">
        <v>37</v>
      </c>
      <c r="M158" s="3">
        <v>1.1999999999999999E-3</v>
      </c>
      <c r="N158" s="3"/>
      <c r="O158" s="3">
        <v>2.597</v>
      </c>
      <c r="P158" s="3"/>
      <c r="R158" s="5">
        <v>123</v>
      </c>
      <c r="S158" s="2"/>
      <c r="T158" s="2"/>
      <c r="U158" s="6"/>
      <c r="V158" s="6"/>
      <c r="W158" s="6" t="s">
        <v>93</v>
      </c>
      <c r="X158" s="1" t="s">
        <v>451</v>
      </c>
      <c r="Y158" s="1" t="s">
        <v>412</v>
      </c>
      <c r="Z158" s="1" t="s">
        <v>284</v>
      </c>
      <c r="AA158" s="6" t="s">
        <v>361</v>
      </c>
    </row>
    <row r="159" spans="1:27" x14ac:dyDescent="0.3">
      <c r="A159" s="1" t="s">
        <v>73</v>
      </c>
      <c r="B159" s="1" t="s">
        <v>364</v>
      </c>
      <c r="D159" s="1" t="s">
        <v>371</v>
      </c>
      <c r="F159" s="1" t="s">
        <v>386</v>
      </c>
      <c r="K159" s="1" t="s">
        <v>37</v>
      </c>
      <c r="M159" s="3">
        <v>7.6999999999999996E-4</v>
      </c>
      <c r="N159" s="3">
        <v>6.0000000000000002E-5</v>
      </c>
      <c r="O159" s="3">
        <v>2.6930000000000001</v>
      </c>
      <c r="P159" s="3">
        <v>0.154</v>
      </c>
      <c r="Q159" s="4">
        <v>0.91</v>
      </c>
      <c r="R159" s="5">
        <v>32</v>
      </c>
      <c r="S159" s="2">
        <v>1</v>
      </c>
      <c r="T159" s="2">
        <v>9.8000000000000007</v>
      </c>
      <c r="U159" s="6"/>
      <c r="V159" s="6"/>
      <c r="W159" s="6" t="s">
        <v>96</v>
      </c>
      <c r="X159" s="1" t="s">
        <v>451</v>
      </c>
      <c r="Y159" s="1" t="s">
        <v>98</v>
      </c>
      <c r="Z159" s="1" t="s">
        <v>284</v>
      </c>
      <c r="AA159" s="6" t="s">
        <v>361</v>
      </c>
    </row>
    <row r="160" spans="1:27" x14ac:dyDescent="0.3">
      <c r="A160" s="1" t="s">
        <v>73</v>
      </c>
      <c r="B160" s="1" t="s">
        <v>364</v>
      </c>
      <c r="D160" s="1" t="s">
        <v>388</v>
      </c>
      <c r="K160" s="1" t="s">
        <v>37</v>
      </c>
      <c r="M160" s="3">
        <v>6.6E-3</v>
      </c>
      <c r="N160" s="3">
        <v>1E-3</v>
      </c>
      <c r="O160" s="3">
        <v>2.4359999999999999</v>
      </c>
      <c r="P160" s="3">
        <v>0.434</v>
      </c>
      <c r="Q160" s="4">
        <v>0.69</v>
      </c>
      <c r="R160" s="5">
        <v>16</v>
      </c>
      <c r="S160" s="2">
        <v>1.6</v>
      </c>
      <c r="T160" s="2">
        <v>8</v>
      </c>
      <c r="U160" s="6"/>
      <c r="V160" s="6"/>
      <c r="W160" s="6" t="s">
        <v>14</v>
      </c>
      <c r="X160" s="1" t="s">
        <v>451</v>
      </c>
      <c r="Y160" s="1" t="s">
        <v>15</v>
      </c>
      <c r="Z160" s="1" t="s">
        <v>284</v>
      </c>
      <c r="AA160" s="6" t="s">
        <v>361</v>
      </c>
    </row>
    <row r="161" spans="1:27" x14ac:dyDescent="0.3">
      <c r="A161" s="1" t="s">
        <v>73</v>
      </c>
      <c r="B161" s="1" t="s">
        <v>364</v>
      </c>
      <c r="D161" s="1" t="s">
        <v>388</v>
      </c>
      <c r="K161" s="1" t="s">
        <v>36</v>
      </c>
      <c r="M161" s="3">
        <v>4.0000000000000001E-3</v>
      </c>
      <c r="N161" s="3">
        <v>1.5E-3</v>
      </c>
      <c r="O161" s="3">
        <v>2.6549999999999998</v>
      </c>
      <c r="P161" s="3">
        <v>0.26100000000000001</v>
      </c>
      <c r="Q161" s="4">
        <v>0.93</v>
      </c>
      <c r="R161" s="5">
        <v>9</v>
      </c>
      <c r="S161" s="2">
        <v>1.4</v>
      </c>
      <c r="T161" s="2">
        <v>9.9</v>
      </c>
      <c r="U161" s="6">
        <v>2.5</v>
      </c>
      <c r="V161" s="6">
        <v>0.6</v>
      </c>
      <c r="W161" s="6" t="s">
        <v>9</v>
      </c>
      <c r="X161" s="1" t="s">
        <v>451</v>
      </c>
      <c r="Y161" s="1" t="s">
        <v>52</v>
      </c>
      <c r="Z161" s="1" t="s">
        <v>284</v>
      </c>
      <c r="AA161" s="6" t="s">
        <v>361</v>
      </c>
    </row>
    <row r="162" spans="1:27" x14ac:dyDescent="0.3">
      <c r="A162" s="1" t="s">
        <v>73</v>
      </c>
      <c r="B162" s="1" t="s">
        <v>364</v>
      </c>
      <c r="D162" s="1" t="s">
        <v>389</v>
      </c>
      <c r="K162" s="1" t="s">
        <v>37</v>
      </c>
      <c r="M162" s="3">
        <v>4.0000000000000001E-3</v>
      </c>
      <c r="N162" s="3">
        <v>1.2999999999999999E-3</v>
      </c>
      <c r="O162" s="3">
        <v>2.0910000000000002</v>
      </c>
      <c r="P162" s="3">
        <v>0.218</v>
      </c>
      <c r="Q162" s="4">
        <v>0.94</v>
      </c>
      <c r="R162" s="5">
        <v>7</v>
      </c>
      <c r="S162" s="2">
        <v>1.5</v>
      </c>
      <c r="T162" s="2">
        <v>7.4</v>
      </c>
      <c r="U162" s="6">
        <v>4.9000000000000004</v>
      </c>
      <c r="V162" s="6">
        <v>0.8</v>
      </c>
      <c r="W162" s="6" t="s">
        <v>9</v>
      </c>
      <c r="X162" s="1" t="s">
        <v>451</v>
      </c>
      <c r="Y162" s="1" t="s">
        <v>52</v>
      </c>
      <c r="Z162" s="1" t="s">
        <v>284</v>
      </c>
      <c r="AA162" s="6" t="s">
        <v>361</v>
      </c>
    </row>
    <row r="163" spans="1:27" x14ac:dyDescent="0.3">
      <c r="A163" s="1" t="s">
        <v>73</v>
      </c>
      <c r="B163" s="1" t="s">
        <v>364</v>
      </c>
      <c r="D163" s="1" t="s">
        <v>390</v>
      </c>
      <c r="K163" s="1" t="s">
        <v>37</v>
      </c>
      <c r="M163" s="3">
        <v>4.7999999999999996E-3</v>
      </c>
      <c r="N163" s="3">
        <v>6.9999999999999999E-4</v>
      </c>
      <c r="O163" s="3">
        <v>2.5499999999999998</v>
      </c>
      <c r="P163" s="3">
        <v>0.13200000000000001</v>
      </c>
      <c r="Q163" s="4">
        <v>0.72</v>
      </c>
      <c r="R163" s="5">
        <v>26</v>
      </c>
      <c r="S163" s="2">
        <v>1.6</v>
      </c>
      <c r="T163" s="2">
        <v>7.7</v>
      </c>
      <c r="U163" s="6"/>
      <c r="V163" s="6"/>
      <c r="W163" s="6" t="s">
        <v>9</v>
      </c>
      <c r="X163" s="1" t="s">
        <v>451</v>
      </c>
      <c r="Y163" s="1" t="s">
        <v>241</v>
      </c>
      <c r="Z163" s="1" t="s">
        <v>284</v>
      </c>
      <c r="AA163" s="6" t="s">
        <v>361</v>
      </c>
    </row>
    <row r="164" spans="1:27" x14ac:dyDescent="0.3">
      <c r="A164" s="1" t="s">
        <v>73</v>
      </c>
      <c r="B164" s="1" t="s">
        <v>364</v>
      </c>
      <c r="D164" s="1" t="s">
        <v>390</v>
      </c>
      <c r="F164" s="1" t="s">
        <v>391</v>
      </c>
      <c r="G164" s="1" t="s">
        <v>392</v>
      </c>
      <c r="K164" s="1" t="s">
        <v>37</v>
      </c>
      <c r="M164" s="3">
        <v>1.1999999999999999E-3</v>
      </c>
      <c r="N164" s="3">
        <v>2.0000000000000001E-4</v>
      </c>
      <c r="O164" s="3">
        <v>3.19</v>
      </c>
      <c r="P164" s="3">
        <v>0.08</v>
      </c>
      <c r="Q164" s="4">
        <v>0.94</v>
      </c>
      <c r="R164" s="5">
        <v>612</v>
      </c>
      <c r="S164" s="2"/>
      <c r="T164" s="2"/>
      <c r="U164" s="6"/>
      <c r="V164" s="6"/>
      <c r="W164" s="6" t="s">
        <v>23</v>
      </c>
      <c r="X164" s="1" t="s">
        <v>451</v>
      </c>
      <c r="Y164" s="1" t="s">
        <v>413</v>
      </c>
      <c r="Z164" s="1" t="s">
        <v>284</v>
      </c>
      <c r="AA164" s="6" t="s">
        <v>361</v>
      </c>
    </row>
    <row r="165" spans="1:27" x14ac:dyDescent="0.3">
      <c r="A165" s="1" t="s">
        <v>73</v>
      </c>
      <c r="B165" s="1" t="s">
        <v>364</v>
      </c>
      <c r="D165" s="1" t="s">
        <v>390</v>
      </c>
      <c r="F165" s="1" t="s">
        <v>393</v>
      </c>
      <c r="G165" s="1" t="s">
        <v>394</v>
      </c>
      <c r="K165" s="1" t="s">
        <v>37</v>
      </c>
      <c r="M165" s="3">
        <v>1.1900000000000001E-3</v>
      </c>
      <c r="N165" s="3">
        <v>5.9000000000000003E-4</v>
      </c>
      <c r="O165" s="3">
        <v>2.6920000000000002</v>
      </c>
      <c r="P165" s="3">
        <v>0.30299999999999999</v>
      </c>
      <c r="Q165" s="4">
        <v>0.89</v>
      </c>
      <c r="R165" s="5">
        <v>15</v>
      </c>
      <c r="S165" s="2"/>
      <c r="T165" s="2"/>
      <c r="U165" s="6"/>
      <c r="V165" s="6"/>
      <c r="W165" s="6" t="s">
        <v>94</v>
      </c>
      <c r="X165" s="1" t="s">
        <v>451</v>
      </c>
      <c r="Y165" s="1" t="s">
        <v>414</v>
      </c>
      <c r="Z165" s="1" t="s">
        <v>284</v>
      </c>
      <c r="AA165" s="6" t="s">
        <v>361</v>
      </c>
    </row>
    <row r="166" spans="1:27" x14ac:dyDescent="0.3">
      <c r="A166" s="1" t="s">
        <v>73</v>
      </c>
      <c r="B166" s="1" t="s">
        <v>364</v>
      </c>
      <c r="D166" s="1" t="s">
        <v>390</v>
      </c>
      <c r="F166" s="1" t="s">
        <v>393</v>
      </c>
      <c r="G166" s="1" t="s">
        <v>395</v>
      </c>
      <c r="K166" s="1" t="s">
        <v>37</v>
      </c>
      <c r="M166" s="3">
        <v>2.5000000000000001E-4</v>
      </c>
      <c r="N166" s="3">
        <v>1.2999999999999999E-4</v>
      </c>
      <c r="O166" s="3">
        <v>3.3420000000000001</v>
      </c>
      <c r="P166" s="3">
        <v>9.2999999999999999E-2</v>
      </c>
      <c r="Q166" s="4">
        <v>0.95</v>
      </c>
      <c r="R166" s="5">
        <v>70</v>
      </c>
      <c r="S166" s="2"/>
      <c r="T166" s="2"/>
      <c r="U166" s="6"/>
      <c r="V166" s="6"/>
      <c r="W166" s="6" t="s">
        <v>94</v>
      </c>
      <c r="X166" s="1" t="s">
        <v>451</v>
      </c>
      <c r="Y166" s="1" t="s">
        <v>414</v>
      </c>
      <c r="Z166" s="1" t="s">
        <v>284</v>
      </c>
      <c r="AA166" s="6" t="s">
        <v>361</v>
      </c>
    </row>
    <row r="167" spans="1:27" x14ac:dyDescent="0.3">
      <c r="A167" s="1" t="s">
        <v>73</v>
      </c>
      <c r="B167" s="1" t="s">
        <v>364</v>
      </c>
      <c r="D167" s="1" t="s">
        <v>390</v>
      </c>
      <c r="F167" s="1" t="s">
        <v>393</v>
      </c>
      <c r="G167" s="1" t="s">
        <v>396</v>
      </c>
      <c r="H167" s="1" t="s">
        <v>397</v>
      </c>
      <c r="K167" s="1" t="s">
        <v>37</v>
      </c>
      <c r="M167" s="3">
        <v>5.5000000000000003E-4</v>
      </c>
      <c r="N167" s="3">
        <v>1.2E-4</v>
      </c>
      <c r="O167" s="3">
        <v>3.036</v>
      </c>
      <c r="P167" s="3">
        <v>8.1000000000000003E-2</v>
      </c>
      <c r="Q167" s="4">
        <v>0.98</v>
      </c>
      <c r="R167" s="5">
        <v>38</v>
      </c>
      <c r="S167" s="2"/>
      <c r="T167" s="2"/>
      <c r="U167" s="6"/>
      <c r="V167" s="6"/>
      <c r="W167" s="6" t="s">
        <v>94</v>
      </c>
      <c r="X167" s="1" t="s">
        <v>451</v>
      </c>
      <c r="Y167" s="1" t="s">
        <v>414</v>
      </c>
      <c r="Z167" s="1" t="s">
        <v>284</v>
      </c>
      <c r="AA167" s="6" t="s">
        <v>361</v>
      </c>
    </row>
    <row r="168" spans="1:27" x14ac:dyDescent="0.3">
      <c r="A168" s="1" t="s">
        <v>73</v>
      </c>
      <c r="B168" s="1" t="s">
        <v>364</v>
      </c>
      <c r="D168" s="1" t="s">
        <v>390</v>
      </c>
      <c r="F168" s="1" t="s">
        <v>393</v>
      </c>
      <c r="K168" s="1" t="s">
        <v>36</v>
      </c>
      <c r="M168" s="6">
        <v>3.0999999999999999E-3</v>
      </c>
      <c r="O168" s="6">
        <v>2.64</v>
      </c>
      <c r="P168" s="6"/>
      <c r="Q168" s="4">
        <v>0.9</v>
      </c>
      <c r="R168" s="5">
        <v>24</v>
      </c>
      <c r="S168" s="2"/>
      <c r="T168" s="2"/>
      <c r="U168" s="6"/>
      <c r="V168" s="6"/>
      <c r="W168" s="6" t="s">
        <v>91</v>
      </c>
      <c r="X168" s="1" t="s">
        <v>451</v>
      </c>
      <c r="Y168" s="1" t="s">
        <v>415</v>
      </c>
      <c r="Z168" s="1" t="s">
        <v>284</v>
      </c>
      <c r="AA168" s="6" t="s">
        <v>361</v>
      </c>
    </row>
    <row r="169" spans="1:27" x14ac:dyDescent="0.3">
      <c r="A169" s="1" t="s">
        <v>73</v>
      </c>
      <c r="B169" s="1" t="s">
        <v>364</v>
      </c>
      <c r="D169" s="1" t="s">
        <v>390</v>
      </c>
      <c r="F169" s="1" t="s">
        <v>393</v>
      </c>
      <c r="K169" s="1" t="s">
        <v>36</v>
      </c>
      <c r="M169" s="6">
        <v>4.0000000000000001E-3</v>
      </c>
      <c r="N169" s="6">
        <v>5.0000000000000001E-4</v>
      </c>
      <c r="O169" s="6">
        <v>2.8069999999999999</v>
      </c>
      <c r="P169" s="6">
        <v>0.122</v>
      </c>
      <c r="Q169" s="4">
        <v>0.99</v>
      </c>
      <c r="R169" s="5">
        <v>9</v>
      </c>
      <c r="S169" s="2">
        <v>0.7</v>
      </c>
      <c r="T169" s="2">
        <v>5.2</v>
      </c>
      <c r="U169" s="6">
        <v>7.9</v>
      </c>
      <c r="V169" s="6">
        <v>0.7</v>
      </c>
      <c r="W169" s="6" t="s">
        <v>9</v>
      </c>
      <c r="X169" s="1" t="s">
        <v>451</v>
      </c>
      <c r="Y169" s="1" t="s">
        <v>52</v>
      </c>
      <c r="Z169" s="1" t="s">
        <v>284</v>
      </c>
      <c r="AA169" s="6" t="s">
        <v>361</v>
      </c>
    </row>
    <row r="170" spans="1:27" x14ac:dyDescent="0.3">
      <c r="A170" s="1" t="s">
        <v>73</v>
      </c>
      <c r="B170" s="1" t="s">
        <v>364</v>
      </c>
      <c r="D170" s="1" t="s">
        <v>390</v>
      </c>
      <c r="F170" s="1" t="s">
        <v>398</v>
      </c>
      <c r="G170" s="1" t="s">
        <v>399</v>
      </c>
      <c r="K170" s="1" t="s">
        <v>37</v>
      </c>
      <c r="M170" s="6">
        <v>4.2000000000000002E-4</v>
      </c>
      <c r="N170" s="6">
        <v>1.1E-4</v>
      </c>
      <c r="O170" s="6">
        <v>3.83</v>
      </c>
      <c r="P170" s="6">
        <v>0.14000000000000001</v>
      </c>
      <c r="Q170" s="4">
        <v>0.94</v>
      </c>
      <c r="R170" s="5">
        <v>169</v>
      </c>
      <c r="S170" s="2"/>
      <c r="T170" s="2"/>
      <c r="U170" s="6"/>
      <c r="V170" s="6"/>
      <c r="W170" s="6" t="s">
        <v>23</v>
      </c>
      <c r="X170" s="1" t="s">
        <v>451</v>
      </c>
      <c r="Y170" s="1" t="s">
        <v>413</v>
      </c>
      <c r="Z170" s="1" t="s">
        <v>284</v>
      </c>
      <c r="AA170" s="6" t="s">
        <v>361</v>
      </c>
    </row>
    <row r="171" spans="1:27" x14ac:dyDescent="0.3">
      <c r="A171" s="1" t="s">
        <v>73</v>
      </c>
      <c r="B171" s="1" t="s">
        <v>364</v>
      </c>
      <c r="D171" s="1" t="s">
        <v>400</v>
      </c>
      <c r="F171" s="1" t="s">
        <v>401</v>
      </c>
      <c r="K171" s="1" t="s">
        <v>37</v>
      </c>
      <c r="M171" s="6">
        <v>5.0000000000000001E-3</v>
      </c>
      <c r="N171" s="6">
        <v>5.9999999999999995E-4</v>
      </c>
      <c r="O171" s="6">
        <v>2.5910000000000002</v>
      </c>
      <c r="P171" s="6">
        <v>0.105</v>
      </c>
      <c r="Q171" s="4">
        <v>0.81</v>
      </c>
      <c r="R171" s="5">
        <v>20</v>
      </c>
      <c r="S171" s="2">
        <v>1.9</v>
      </c>
      <c r="T171" s="2">
        <v>16.399999999999999</v>
      </c>
      <c r="U171" s="6"/>
      <c r="V171" s="6"/>
      <c r="W171" s="6" t="s">
        <v>14</v>
      </c>
      <c r="X171" s="1" t="s">
        <v>451</v>
      </c>
      <c r="Y171" s="1" t="s">
        <v>142</v>
      </c>
      <c r="Z171" s="1" t="s">
        <v>284</v>
      </c>
      <c r="AA171" s="6" t="s">
        <v>361</v>
      </c>
    </row>
    <row r="172" spans="1:27" x14ac:dyDescent="0.3">
      <c r="A172" s="1" t="s">
        <v>73</v>
      </c>
      <c r="B172" s="1" t="s">
        <v>364</v>
      </c>
      <c r="D172" s="1" t="s">
        <v>402</v>
      </c>
      <c r="F172" s="1" t="s">
        <v>403</v>
      </c>
      <c r="K172" s="1" t="s">
        <v>36</v>
      </c>
      <c r="M172" s="6">
        <v>2.7000000000000001E-3</v>
      </c>
      <c r="N172" s="6">
        <v>6.9999999999999999E-4</v>
      </c>
      <c r="O172" s="6">
        <v>2.637</v>
      </c>
      <c r="P172" s="6">
        <v>0.16400000000000001</v>
      </c>
      <c r="Q172" s="4">
        <v>0.97</v>
      </c>
      <c r="R172" s="5">
        <v>9</v>
      </c>
      <c r="S172" s="2">
        <v>1.2</v>
      </c>
      <c r="T172" s="2">
        <v>9.1999999999999993</v>
      </c>
      <c r="U172" s="6">
        <v>3.4</v>
      </c>
      <c r="V172" s="6">
        <v>0.6</v>
      </c>
      <c r="W172" s="6" t="s">
        <v>9</v>
      </c>
      <c r="X172" s="1" t="s">
        <v>451</v>
      </c>
      <c r="Y172" s="1" t="s">
        <v>52</v>
      </c>
      <c r="Z172" s="1" t="s">
        <v>284</v>
      </c>
      <c r="AA172" s="6" t="s">
        <v>361</v>
      </c>
    </row>
    <row r="173" spans="1:27" x14ac:dyDescent="0.3">
      <c r="A173" s="1" t="s">
        <v>73</v>
      </c>
      <c r="B173" s="1" t="s">
        <v>364</v>
      </c>
      <c r="D173" s="1" t="s">
        <v>402</v>
      </c>
      <c r="F173" s="1" t="s">
        <v>404</v>
      </c>
      <c r="K173" s="1" t="s">
        <v>36</v>
      </c>
      <c r="M173" s="6">
        <v>4.1999999999999997E-3</v>
      </c>
      <c r="N173" s="6">
        <v>6.9999999999999999E-4</v>
      </c>
      <c r="O173" s="6">
        <v>2.5960000000000001</v>
      </c>
      <c r="P173" s="6">
        <v>0.108</v>
      </c>
      <c r="Q173" s="4">
        <v>0.97</v>
      </c>
      <c r="R173" s="5">
        <v>19</v>
      </c>
      <c r="S173" s="2">
        <v>1</v>
      </c>
      <c r="T173" s="2">
        <v>12.6</v>
      </c>
      <c r="U173" s="6">
        <v>3</v>
      </c>
      <c r="V173" s="6">
        <v>0.3</v>
      </c>
      <c r="W173" s="6" t="s">
        <v>9</v>
      </c>
      <c r="X173" s="1" t="s">
        <v>451</v>
      </c>
      <c r="Y173" s="1" t="s">
        <v>52</v>
      </c>
      <c r="Z173" s="1" t="s">
        <v>284</v>
      </c>
      <c r="AA173" s="6" t="s">
        <v>361</v>
      </c>
    </row>
    <row r="174" spans="1:27" x14ac:dyDescent="0.3">
      <c r="A174" s="1" t="s">
        <v>73</v>
      </c>
      <c r="B174" s="1" t="s">
        <v>364</v>
      </c>
      <c r="D174" s="1" t="s">
        <v>402</v>
      </c>
      <c r="F174" s="1" t="s">
        <v>405</v>
      </c>
      <c r="K174" s="1" t="s">
        <v>36</v>
      </c>
      <c r="M174" s="6">
        <v>5.9999999999999995E-4</v>
      </c>
      <c r="N174" s="6">
        <v>5.9999999999999995E-4</v>
      </c>
      <c r="O174" s="6">
        <v>2.7450000000000001</v>
      </c>
      <c r="P174" s="6">
        <v>0.38800000000000001</v>
      </c>
      <c r="Q174" s="4">
        <v>0.92</v>
      </c>
      <c r="R174" s="5">
        <v>5</v>
      </c>
      <c r="S174" s="2">
        <v>2.8</v>
      </c>
      <c r="T174" s="2">
        <v>16</v>
      </c>
      <c r="U174" s="6">
        <v>3.5</v>
      </c>
      <c r="V174" s="6">
        <v>1.1000000000000001</v>
      </c>
      <c r="W174" s="6" t="s">
        <v>9</v>
      </c>
      <c r="X174" s="1" t="s">
        <v>451</v>
      </c>
      <c r="Y174" s="1" t="s">
        <v>52</v>
      </c>
      <c r="Z174" s="1" t="s">
        <v>284</v>
      </c>
      <c r="AA174" s="6" t="s">
        <v>361</v>
      </c>
    </row>
    <row r="175" spans="1:27" x14ac:dyDescent="0.3">
      <c r="A175" s="1" t="s">
        <v>73</v>
      </c>
      <c r="B175" s="1" t="s">
        <v>364</v>
      </c>
      <c r="D175" s="1" t="s">
        <v>402</v>
      </c>
      <c r="F175" s="1" t="s">
        <v>406</v>
      </c>
      <c r="K175" s="1" t="s">
        <v>36</v>
      </c>
      <c r="M175" s="6">
        <v>1.6000000000000001E-3</v>
      </c>
      <c r="N175" s="6">
        <v>5.0000000000000001E-4</v>
      </c>
      <c r="O175" s="6">
        <v>2.9140000000000001</v>
      </c>
      <c r="P175" s="6">
        <v>0.19400000000000001</v>
      </c>
      <c r="Q175" s="4">
        <v>0.97</v>
      </c>
      <c r="R175" s="5">
        <v>8</v>
      </c>
      <c r="S175" s="2">
        <v>1.2</v>
      </c>
      <c r="T175" s="2">
        <v>9.5</v>
      </c>
      <c r="U175" s="6">
        <v>5.3</v>
      </c>
      <c r="V175" s="6">
        <v>2</v>
      </c>
      <c r="W175" s="6" t="s">
        <v>9</v>
      </c>
      <c r="X175" s="1" t="s">
        <v>451</v>
      </c>
      <c r="Y175" s="1" t="s">
        <v>52</v>
      </c>
      <c r="Z175" s="1" t="s">
        <v>284</v>
      </c>
      <c r="AA175" s="6" t="s">
        <v>361</v>
      </c>
    </row>
    <row r="176" spans="1:27" x14ac:dyDescent="0.3">
      <c r="A176" s="1" t="s">
        <v>73</v>
      </c>
      <c r="B176" s="1" t="s">
        <v>364</v>
      </c>
      <c r="D176" s="1" t="s">
        <v>402</v>
      </c>
      <c r="F176" s="1" t="s">
        <v>407</v>
      </c>
      <c r="K176" s="1" t="s">
        <v>36</v>
      </c>
      <c r="M176" s="6">
        <v>1.2999999999999999E-3</v>
      </c>
      <c r="N176" s="6">
        <v>5.0000000000000001E-4</v>
      </c>
      <c r="O176" s="6">
        <v>2.851</v>
      </c>
      <c r="P176" s="6">
        <v>0.221</v>
      </c>
      <c r="Q176" s="4">
        <v>0.96</v>
      </c>
      <c r="R176" s="5">
        <v>8</v>
      </c>
      <c r="S176" s="2">
        <v>2.2000000000000002</v>
      </c>
      <c r="T176" s="2">
        <v>16</v>
      </c>
      <c r="U176" s="6">
        <v>3.5</v>
      </c>
      <c r="V176" s="6">
        <v>0.6</v>
      </c>
      <c r="W176" s="6" t="s">
        <v>9</v>
      </c>
      <c r="X176" s="1" t="s">
        <v>451</v>
      </c>
      <c r="Y176" s="1" t="s">
        <v>52</v>
      </c>
      <c r="Z176" s="1" t="s">
        <v>284</v>
      </c>
      <c r="AA176" s="6" t="s">
        <v>361</v>
      </c>
    </row>
    <row r="177" spans="1:27" x14ac:dyDescent="0.3">
      <c r="A177" s="1" t="s">
        <v>73</v>
      </c>
      <c r="B177" s="1" t="s">
        <v>364</v>
      </c>
      <c r="D177" s="1" t="s">
        <v>402</v>
      </c>
      <c r="F177" s="1" t="s">
        <v>408</v>
      </c>
      <c r="K177" s="1" t="s">
        <v>36</v>
      </c>
      <c r="M177" s="6">
        <v>1.4E-3</v>
      </c>
      <c r="N177" s="6">
        <v>2.9999999999999997E-4</v>
      </c>
      <c r="O177" s="6">
        <v>2.6669999999999998</v>
      </c>
      <c r="P177" s="6">
        <v>0.124</v>
      </c>
      <c r="Q177" s="4">
        <v>0.98</v>
      </c>
      <c r="R177" s="5">
        <v>8</v>
      </c>
      <c r="S177" s="2">
        <v>2.6</v>
      </c>
      <c r="T177" s="2">
        <v>11.1</v>
      </c>
      <c r="U177" s="6">
        <v>2.4</v>
      </c>
      <c r="V177" s="6">
        <v>0.2</v>
      </c>
      <c r="W177" s="6" t="s">
        <v>9</v>
      </c>
      <c r="X177" s="1" t="s">
        <v>451</v>
      </c>
      <c r="Y177" s="1" t="s">
        <v>52</v>
      </c>
      <c r="Z177" s="1" t="s">
        <v>284</v>
      </c>
      <c r="AA177" s="6" t="s">
        <v>361</v>
      </c>
    </row>
    <row r="178" spans="1:27" x14ac:dyDescent="0.3">
      <c r="A178" s="1" t="s">
        <v>73</v>
      </c>
      <c r="B178" s="1" t="s">
        <v>364</v>
      </c>
      <c r="D178" s="1" t="s">
        <v>402</v>
      </c>
      <c r="F178" s="1" t="s">
        <v>409</v>
      </c>
      <c r="G178" s="1" t="s">
        <v>410</v>
      </c>
      <c r="K178" s="1" t="s">
        <v>37</v>
      </c>
      <c r="M178" s="6">
        <v>1.5E-3</v>
      </c>
      <c r="N178" s="6">
        <v>2.0000000000000001E-4</v>
      </c>
      <c r="O178" s="6">
        <v>2.81</v>
      </c>
      <c r="P178" s="6">
        <v>0.19</v>
      </c>
      <c r="Q178" s="4">
        <v>0.88</v>
      </c>
      <c r="R178" s="5">
        <v>27</v>
      </c>
      <c r="S178" s="2">
        <v>4</v>
      </c>
      <c r="T178" s="2">
        <v>31.1</v>
      </c>
      <c r="U178" s="6"/>
      <c r="V178" s="6"/>
      <c r="W178" s="6" t="s">
        <v>14</v>
      </c>
      <c r="X178" s="1" t="s">
        <v>451</v>
      </c>
      <c r="Y178" s="1" t="s">
        <v>142</v>
      </c>
      <c r="Z178" s="1" t="s">
        <v>284</v>
      </c>
      <c r="AA178" s="6" t="s">
        <v>361</v>
      </c>
    </row>
    <row r="179" spans="1:27" x14ac:dyDescent="0.3">
      <c r="A179" s="1" t="s">
        <v>73</v>
      </c>
      <c r="B179" s="1" t="s">
        <v>364</v>
      </c>
      <c r="D179" s="1" t="s">
        <v>402</v>
      </c>
      <c r="F179" s="1" t="s">
        <v>409</v>
      </c>
      <c r="G179" s="1" t="s">
        <v>410</v>
      </c>
      <c r="K179" s="1" t="s">
        <v>37</v>
      </c>
      <c r="M179" s="6">
        <v>5.4000000000000003E-3</v>
      </c>
      <c r="N179" s="6">
        <v>2.9999999999999997E-4</v>
      </c>
      <c r="O179" s="6">
        <v>2.4630000000000001</v>
      </c>
      <c r="P179" s="6">
        <v>0.13300000000000001</v>
      </c>
      <c r="Q179" s="4">
        <v>0.92</v>
      </c>
      <c r="R179" s="5">
        <v>36</v>
      </c>
      <c r="S179" s="2">
        <v>4.3</v>
      </c>
      <c r="T179" s="2">
        <v>38.1</v>
      </c>
      <c r="U179" s="6"/>
      <c r="V179" s="6"/>
      <c r="W179" s="6" t="s">
        <v>9</v>
      </c>
      <c r="X179" s="1" t="s">
        <v>451</v>
      </c>
      <c r="Y179" s="1" t="s">
        <v>142</v>
      </c>
      <c r="Z179" s="1" t="s">
        <v>284</v>
      </c>
      <c r="AA179" s="6" t="s">
        <v>361</v>
      </c>
    </row>
    <row r="180" spans="1:27" x14ac:dyDescent="0.3">
      <c r="A180" s="1" t="s">
        <v>73</v>
      </c>
      <c r="B180" s="1" t="s">
        <v>364</v>
      </c>
      <c r="D180" s="1" t="s">
        <v>402</v>
      </c>
      <c r="F180" s="1" t="s">
        <v>409</v>
      </c>
      <c r="K180" s="1" t="s">
        <v>36</v>
      </c>
      <c r="M180" s="6">
        <v>6.4000000000000003E-3</v>
      </c>
      <c r="N180" s="6">
        <v>3.3999999999999998E-3</v>
      </c>
      <c r="O180" s="6">
        <v>2.4430000000000001</v>
      </c>
      <c r="P180" s="6">
        <v>0.19900000000000001</v>
      </c>
      <c r="Q180" s="4">
        <v>0.95</v>
      </c>
      <c r="R180" s="5">
        <v>9</v>
      </c>
      <c r="S180" s="2">
        <v>4.3</v>
      </c>
      <c r="T180" s="2">
        <v>28.3</v>
      </c>
      <c r="U180" s="6">
        <v>4.5</v>
      </c>
      <c r="V180" s="6">
        <v>0.6</v>
      </c>
      <c r="W180" s="6" t="s">
        <v>9</v>
      </c>
      <c r="X180" s="1" t="s">
        <v>451</v>
      </c>
      <c r="Y180" s="1" t="s">
        <v>52</v>
      </c>
      <c r="Z180" s="1" t="s">
        <v>284</v>
      </c>
      <c r="AA180" s="6" t="s">
        <v>361</v>
      </c>
    </row>
    <row r="181" spans="1:27" x14ac:dyDescent="0.3">
      <c r="A181" s="1" t="s">
        <v>73</v>
      </c>
      <c r="B181" s="1" t="s">
        <v>364</v>
      </c>
      <c r="D181" s="1" t="s">
        <v>371</v>
      </c>
      <c r="K181" s="1" t="s">
        <v>37</v>
      </c>
      <c r="M181" s="6">
        <v>2.15E-3</v>
      </c>
      <c r="N181" s="6"/>
      <c r="O181" s="6">
        <v>2.71</v>
      </c>
      <c r="P181" s="6"/>
      <c r="Q181" s="4">
        <v>0.84</v>
      </c>
      <c r="R181" s="5">
        <v>38</v>
      </c>
      <c r="S181" s="2">
        <v>2</v>
      </c>
      <c r="T181" s="2">
        <v>6</v>
      </c>
      <c r="U181" s="6"/>
      <c r="V181" s="6"/>
      <c r="W181" s="6" t="s">
        <v>420</v>
      </c>
      <c r="X181" s="1" t="s">
        <v>451</v>
      </c>
      <c r="Y181" s="1" t="s">
        <v>416</v>
      </c>
    </row>
    <row r="182" spans="1:27" x14ac:dyDescent="0.3">
      <c r="A182" s="1" t="s">
        <v>73</v>
      </c>
      <c r="B182" s="1" t="s">
        <v>364</v>
      </c>
      <c r="D182" s="1" t="s">
        <v>384</v>
      </c>
      <c r="K182" s="1" t="s">
        <v>37</v>
      </c>
      <c r="M182" s="6">
        <v>5.62E-3</v>
      </c>
      <c r="N182" s="6"/>
      <c r="O182" s="6">
        <v>2</v>
      </c>
      <c r="P182" s="6"/>
      <c r="Q182" s="4">
        <v>0.62</v>
      </c>
      <c r="R182" s="5">
        <v>16</v>
      </c>
      <c r="S182" s="2">
        <v>3</v>
      </c>
      <c r="T182" s="2">
        <v>5.8</v>
      </c>
      <c r="U182" s="6"/>
      <c r="V182" s="6"/>
      <c r="W182" s="6" t="s">
        <v>420</v>
      </c>
      <c r="X182" s="1" t="s">
        <v>451</v>
      </c>
      <c r="Y182" s="1" t="s">
        <v>416</v>
      </c>
    </row>
    <row r="183" spans="1:27" x14ac:dyDescent="0.3">
      <c r="A183" s="1" t="s">
        <v>73</v>
      </c>
      <c r="B183" s="1" t="s">
        <v>364</v>
      </c>
      <c r="D183" s="1" t="s">
        <v>419</v>
      </c>
      <c r="K183" s="1" t="s">
        <v>37</v>
      </c>
      <c r="M183" s="6">
        <v>1.24E-3</v>
      </c>
      <c r="N183" s="6"/>
      <c r="O183" s="6">
        <v>3.26</v>
      </c>
      <c r="P183" s="6"/>
      <c r="Q183" s="4">
        <v>0.85</v>
      </c>
      <c r="R183" s="5">
        <v>22</v>
      </c>
      <c r="S183" s="2">
        <v>2</v>
      </c>
      <c r="T183" s="2">
        <v>6</v>
      </c>
      <c r="U183" s="6"/>
      <c r="V183" s="6"/>
      <c r="W183" s="6" t="s">
        <v>420</v>
      </c>
      <c r="X183" s="1" t="s">
        <v>451</v>
      </c>
      <c r="Y183" s="1" t="s">
        <v>416</v>
      </c>
    </row>
    <row r="184" spans="1:27" x14ac:dyDescent="0.3">
      <c r="A184" s="1" t="s">
        <v>73</v>
      </c>
      <c r="B184" s="1" t="s">
        <v>364</v>
      </c>
      <c r="D184" s="1" t="s">
        <v>390</v>
      </c>
      <c r="F184" s="1" t="s">
        <v>393</v>
      </c>
      <c r="K184" s="1" t="s">
        <v>37</v>
      </c>
      <c r="M184" s="6">
        <v>6.0099999999999997E-3</v>
      </c>
      <c r="N184" s="6"/>
      <c r="O184" s="6">
        <v>2.81</v>
      </c>
      <c r="P184" s="6"/>
      <c r="Q184" s="4">
        <v>0.98</v>
      </c>
      <c r="R184" s="5">
        <v>30</v>
      </c>
      <c r="S184" s="4">
        <v>0.65</v>
      </c>
      <c r="T184" s="2">
        <v>5.4</v>
      </c>
      <c r="U184" s="6"/>
      <c r="V184" s="6"/>
      <c r="W184" s="6" t="s">
        <v>420</v>
      </c>
      <c r="X184" s="1" t="s">
        <v>451</v>
      </c>
      <c r="Y184" s="1" t="s">
        <v>416</v>
      </c>
    </row>
    <row r="185" spans="1:27" x14ac:dyDescent="0.3">
      <c r="A185" s="1" t="s">
        <v>73</v>
      </c>
      <c r="B185" s="1" t="s">
        <v>364</v>
      </c>
      <c r="D185" s="1" t="s">
        <v>371</v>
      </c>
      <c r="K185" s="1" t="s">
        <v>37</v>
      </c>
      <c r="L185" s="1" t="s">
        <v>435</v>
      </c>
      <c r="M185" s="1">
        <v>2.1086281499332876E-3</v>
      </c>
      <c r="O185" s="1">
        <v>2.4729999999999999</v>
      </c>
      <c r="Q185" s="4">
        <v>0.84</v>
      </c>
      <c r="R185" s="1">
        <v>508</v>
      </c>
      <c r="S185" s="1">
        <v>1.3</v>
      </c>
      <c r="T185" s="1">
        <v>16</v>
      </c>
      <c r="V185" s="6"/>
      <c r="W185" s="6" t="s">
        <v>436</v>
      </c>
      <c r="X185" s="6" t="s">
        <v>450</v>
      </c>
      <c r="Y185" s="1" t="s">
        <v>437</v>
      </c>
    </row>
    <row r="186" spans="1:27" x14ac:dyDescent="0.3">
      <c r="A186" s="1" t="s">
        <v>73</v>
      </c>
      <c r="B186" s="1" t="s">
        <v>364</v>
      </c>
      <c r="D186" s="1" t="s">
        <v>371</v>
      </c>
      <c r="F186" s="1" t="s">
        <v>421</v>
      </c>
      <c r="K186" s="1" t="s">
        <v>37</v>
      </c>
      <c r="L186" s="1" t="s">
        <v>435</v>
      </c>
      <c r="M186" s="1">
        <v>3.0760968147407063E-3</v>
      </c>
      <c r="O186" s="1">
        <v>2.4590000000000001</v>
      </c>
      <c r="Q186" s="4">
        <v>0.72</v>
      </c>
      <c r="R186" s="1">
        <v>99</v>
      </c>
      <c r="S186" s="1">
        <v>1.3</v>
      </c>
      <c r="T186" s="1">
        <v>9.5</v>
      </c>
      <c r="V186" s="6"/>
      <c r="W186" s="6" t="s">
        <v>436</v>
      </c>
      <c r="X186" s="6" t="s">
        <v>450</v>
      </c>
      <c r="Y186" s="1" t="s">
        <v>437</v>
      </c>
    </row>
    <row r="187" spans="1:27" x14ac:dyDescent="0.3">
      <c r="A187" s="1" t="s">
        <v>73</v>
      </c>
      <c r="B187" s="1" t="s">
        <v>364</v>
      </c>
      <c r="D187" s="1" t="s">
        <v>371</v>
      </c>
      <c r="F187" s="1" t="s">
        <v>422</v>
      </c>
      <c r="K187" s="1" t="s">
        <v>37</v>
      </c>
      <c r="L187" s="1" t="s">
        <v>435</v>
      </c>
      <c r="M187" s="1">
        <v>2.1428906011200575E-3</v>
      </c>
      <c r="O187" s="1">
        <v>2.34</v>
      </c>
      <c r="Q187" s="4">
        <v>0.6</v>
      </c>
      <c r="R187" s="1">
        <v>111</v>
      </c>
      <c r="S187" s="1">
        <v>1.7</v>
      </c>
      <c r="T187" s="1">
        <v>5</v>
      </c>
      <c r="V187" s="6"/>
      <c r="W187" s="6" t="s">
        <v>436</v>
      </c>
      <c r="X187" s="6" t="s">
        <v>450</v>
      </c>
      <c r="Y187" s="1" t="s">
        <v>437</v>
      </c>
    </row>
    <row r="188" spans="1:27" x14ac:dyDescent="0.3">
      <c r="A188" s="1" t="s">
        <v>73</v>
      </c>
      <c r="B188" s="1" t="s">
        <v>364</v>
      </c>
      <c r="D188" s="1" t="s">
        <v>371</v>
      </c>
      <c r="F188" s="1" t="s">
        <v>423</v>
      </c>
      <c r="K188" s="1" t="s">
        <v>37</v>
      </c>
      <c r="L188" s="1" t="s">
        <v>435</v>
      </c>
      <c r="M188" s="1">
        <v>1.4723125024327186E-3</v>
      </c>
      <c r="O188" s="1">
        <v>2.823</v>
      </c>
      <c r="Q188" s="4">
        <v>0.8</v>
      </c>
      <c r="R188" s="1">
        <v>31</v>
      </c>
      <c r="S188" s="1">
        <v>1.4</v>
      </c>
      <c r="T188" s="1">
        <v>5</v>
      </c>
      <c r="V188" s="6"/>
      <c r="W188" s="6" t="s">
        <v>436</v>
      </c>
      <c r="X188" s="6" t="s">
        <v>450</v>
      </c>
      <c r="Y188" s="1" t="s">
        <v>437</v>
      </c>
    </row>
    <row r="189" spans="1:27" x14ac:dyDescent="0.3">
      <c r="A189" s="1" t="s">
        <v>73</v>
      </c>
      <c r="B189" s="1" t="s">
        <v>364</v>
      </c>
      <c r="D189" s="1" t="s">
        <v>371</v>
      </c>
      <c r="F189" s="1" t="s">
        <v>378</v>
      </c>
      <c r="K189" s="1" t="s">
        <v>37</v>
      </c>
      <c r="L189" s="1" t="s">
        <v>435</v>
      </c>
      <c r="M189" s="1">
        <v>1.9230917289101556E-3</v>
      </c>
      <c r="O189" s="1">
        <v>2.5760000000000001</v>
      </c>
      <c r="Q189" s="4">
        <v>0.54</v>
      </c>
      <c r="R189" s="1">
        <v>46</v>
      </c>
      <c r="S189" s="1">
        <v>2</v>
      </c>
      <c r="T189" s="1">
        <v>4.5</v>
      </c>
      <c r="W189" s="6" t="s">
        <v>436</v>
      </c>
      <c r="X189" s="6" t="s">
        <v>450</v>
      </c>
      <c r="Y189" s="1" t="s">
        <v>437</v>
      </c>
    </row>
    <row r="190" spans="1:27" x14ac:dyDescent="0.3">
      <c r="A190" s="1" t="s">
        <v>73</v>
      </c>
      <c r="B190" s="1" t="s">
        <v>364</v>
      </c>
      <c r="D190" s="1" t="s">
        <v>371</v>
      </c>
      <c r="F190" s="1" t="s">
        <v>382</v>
      </c>
      <c r="K190" s="1" t="s">
        <v>37</v>
      </c>
      <c r="L190" s="1" t="s">
        <v>435</v>
      </c>
      <c r="M190" s="1">
        <v>1.7538805018417611E-3</v>
      </c>
      <c r="O190" s="1">
        <v>2.673</v>
      </c>
      <c r="Q190" s="4">
        <v>0.84</v>
      </c>
      <c r="R190" s="1">
        <v>75</v>
      </c>
      <c r="S190" s="1">
        <v>1.38</v>
      </c>
      <c r="T190" s="1">
        <v>4.8</v>
      </c>
      <c r="W190" s="6" t="s">
        <v>436</v>
      </c>
      <c r="X190" s="6" t="s">
        <v>450</v>
      </c>
      <c r="Y190" s="1" t="s">
        <v>437</v>
      </c>
    </row>
    <row r="191" spans="1:27" x14ac:dyDescent="0.3">
      <c r="A191" s="1" t="s">
        <v>73</v>
      </c>
      <c r="B191" s="1" t="s">
        <v>364</v>
      </c>
      <c r="D191" s="1" t="s">
        <v>371</v>
      </c>
      <c r="F191" s="1" t="s">
        <v>376</v>
      </c>
      <c r="K191" s="1" t="s">
        <v>37</v>
      </c>
      <c r="L191" s="1" t="s">
        <v>435</v>
      </c>
      <c r="M191" s="1">
        <v>2.4547089156850275E-4</v>
      </c>
      <c r="O191" s="1">
        <v>3.347</v>
      </c>
      <c r="Q191" s="4">
        <v>0.91</v>
      </c>
      <c r="R191" s="1">
        <v>88</v>
      </c>
      <c r="S191" s="1">
        <v>1.9</v>
      </c>
      <c r="T191" s="1">
        <v>16</v>
      </c>
      <c r="W191" s="6" t="s">
        <v>436</v>
      </c>
      <c r="X191" s="6" t="s">
        <v>450</v>
      </c>
      <c r="Y191" s="1" t="s">
        <v>437</v>
      </c>
    </row>
    <row r="192" spans="1:27" x14ac:dyDescent="0.3">
      <c r="A192" s="1" t="s">
        <v>73</v>
      </c>
      <c r="B192" s="1" t="s">
        <v>364</v>
      </c>
      <c r="D192" s="1" t="s">
        <v>371</v>
      </c>
      <c r="F192" s="1" t="s">
        <v>424</v>
      </c>
      <c r="K192" s="1" t="s">
        <v>37</v>
      </c>
      <c r="L192" s="1" t="s">
        <v>435</v>
      </c>
      <c r="M192" s="1">
        <v>2.4043628000069311E-3</v>
      </c>
      <c r="O192" s="1">
        <v>2.4249999999999998</v>
      </c>
      <c r="Q192" s="4">
        <v>0.94</v>
      </c>
      <c r="R192" s="1">
        <v>56</v>
      </c>
      <c r="S192" s="1">
        <v>1.58</v>
      </c>
      <c r="T192" s="1">
        <v>6.7</v>
      </c>
      <c r="W192" s="6" t="s">
        <v>436</v>
      </c>
      <c r="X192" s="6" t="s">
        <v>450</v>
      </c>
      <c r="Y192" s="1" t="s">
        <v>437</v>
      </c>
    </row>
    <row r="193" spans="1:25" ht="14.5" x14ac:dyDescent="0.35">
      <c r="A193" s="1" t="s">
        <v>73</v>
      </c>
      <c r="B193" s="10" t="s">
        <v>364</v>
      </c>
      <c r="D193" t="s">
        <v>365</v>
      </c>
      <c r="F193" s="10"/>
      <c r="G193" s="10"/>
      <c r="K193" s="1" t="s">
        <v>37</v>
      </c>
      <c r="L193" s="1" t="s">
        <v>457</v>
      </c>
      <c r="M193" s="10">
        <v>7.0000000000000001E-3</v>
      </c>
      <c r="N193" s="10"/>
      <c r="O193" s="10">
        <v>2.6480000000000001</v>
      </c>
      <c r="Q193" s="16">
        <v>0.76</v>
      </c>
      <c r="R193" s="10">
        <v>30</v>
      </c>
      <c r="S193" s="1">
        <v>3.3</v>
      </c>
      <c r="T193" s="10">
        <v>5.3</v>
      </c>
      <c r="W193" s="1" t="s">
        <v>448</v>
      </c>
      <c r="X193" s="1" t="s">
        <v>451</v>
      </c>
      <c r="Y193" s="1" t="s">
        <v>449</v>
      </c>
    </row>
    <row r="194" spans="1:25" ht="14.5" x14ac:dyDescent="0.35">
      <c r="A194" s="1" t="s">
        <v>73</v>
      </c>
      <c r="B194" s="10" t="s">
        <v>364</v>
      </c>
      <c r="D194" t="s">
        <v>371</v>
      </c>
      <c r="F194" t="s">
        <v>526</v>
      </c>
      <c r="G194"/>
      <c r="K194" s="1" t="s">
        <v>37</v>
      </c>
      <c r="L194" s="1" t="s">
        <v>548</v>
      </c>
      <c r="M194">
        <v>1.6951229566232505E-3</v>
      </c>
      <c r="N194"/>
      <c r="O194">
        <v>3.23</v>
      </c>
      <c r="P194"/>
      <c r="Q194" s="17">
        <v>0.9</v>
      </c>
      <c r="R194">
        <v>17</v>
      </c>
      <c r="S194">
        <v>3</v>
      </c>
      <c r="T194">
        <v>7</v>
      </c>
      <c r="U194" s="6"/>
      <c r="V194" s="6"/>
      <c r="W194" s="6" t="s">
        <v>549</v>
      </c>
      <c r="X194" s="6" t="s">
        <v>550</v>
      </c>
      <c r="Y194" t="s">
        <v>551</v>
      </c>
    </row>
    <row r="195" spans="1:25" ht="14.5" x14ac:dyDescent="0.35">
      <c r="A195" s="1" t="s">
        <v>73</v>
      </c>
      <c r="B195" s="10" t="s">
        <v>364</v>
      </c>
      <c r="D195" t="s">
        <v>483</v>
      </c>
      <c r="F195" t="s">
        <v>527</v>
      </c>
      <c r="G195"/>
      <c r="K195" s="1" t="s">
        <v>37</v>
      </c>
      <c r="L195" s="1" t="s">
        <v>548</v>
      </c>
      <c r="M195">
        <v>3.2554820892043796E-4</v>
      </c>
      <c r="N195"/>
      <c r="O195">
        <v>3.55</v>
      </c>
      <c r="P195"/>
      <c r="Q195" s="17">
        <v>0.88</v>
      </c>
      <c r="R195">
        <v>6</v>
      </c>
      <c r="S195">
        <v>6.5</v>
      </c>
      <c r="T195">
        <v>13.5</v>
      </c>
      <c r="U195" s="6"/>
      <c r="V195" s="6"/>
      <c r="W195" s="6" t="s">
        <v>549</v>
      </c>
      <c r="X195" s="6" t="s">
        <v>550</v>
      </c>
      <c r="Y195" t="s">
        <v>551</v>
      </c>
    </row>
    <row r="196" spans="1:25" ht="14.5" x14ac:dyDescent="0.35">
      <c r="A196" s="1" t="s">
        <v>73</v>
      </c>
      <c r="B196" s="10" t="s">
        <v>364</v>
      </c>
      <c r="D196" t="s">
        <v>365</v>
      </c>
      <c r="F196" t="s">
        <v>528</v>
      </c>
      <c r="G196"/>
      <c r="K196" s="1" t="s">
        <v>37</v>
      </c>
      <c r="L196" s="1" t="s">
        <v>548</v>
      </c>
      <c r="M196">
        <v>1.0152858373369763E-2</v>
      </c>
      <c r="N196"/>
      <c r="O196">
        <v>2.04</v>
      </c>
      <c r="P196"/>
      <c r="Q196" s="17">
        <v>0.93</v>
      </c>
      <c r="R196">
        <v>31</v>
      </c>
      <c r="S196">
        <v>3</v>
      </c>
      <c r="T196">
        <v>14</v>
      </c>
      <c r="U196" s="6"/>
      <c r="V196" s="6"/>
      <c r="W196" s="6" t="s">
        <v>549</v>
      </c>
      <c r="X196" s="6" t="s">
        <v>550</v>
      </c>
      <c r="Y196" t="s">
        <v>551</v>
      </c>
    </row>
    <row r="197" spans="1:25" ht="14.5" x14ac:dyDescent="0.35">
      <c r="A197" s="1" t="s">
        <v>73</v>
      </c>
      <c r="B197" s="10" t="s">
        <v>364</v>
      </c>
      <c r="D197" t="s">
        <v>367</v>
      </c>
      <c r="F197" t="s">
        <v>529</v>
      </c>
      <c r="G197"/>
      <c r="K197" s="1" t="s">
        <v>37</v>
      </c>
      <c r="L197" s="1" t="s">
        <v>548</v>
      </c>
      <c r="M197">
        <v>6.6709033062552743E-3</v>
      </c>
      <c r="N197"/>
      <c r="O197">
        <v>2.85</v>
      </c>
      <c r="P197"/>
      <c r="Q197" s="17">
        <v>0.98</v>
      </c>
      <c r="R197">
        <v>31</v>
      </c>
      <c r="S197">
        <v>2</v>
      </c>
      <c r="T197">
        <v>15.5</v>
      </c>
      <c r="U197" s="6"/>
      <c r="V197" s="6"/>
      <c r="W197" s="6" t="s">
        <v>549</v>
      </c>
      <c r="X197" s="6" t="s">
        <v>550</v>
      </c>
      <c r="Y197" t="s">
        <v>551</v>
      </c>
    </row>
    <row r="198" spans="1:25" ht="14.5" x14ac:dyDescent="0.35">
      <c r="A198" s="1" t="s">
        <v>73</v>
      </c>
      <c r="B198" s="10" t="s">
        <v>364</v>
      </c>
      <c r="D198" t="s">
        <v>390</v>
      </c>
      <c r="F198" t="s">
        <v>393</v>
      </c>
      <c r="G198"/>
      <c r="K198" s="1" t="s">
        <v>37</v>
      </c>
      <c r="L198" s="1" t="s">
        <v>548</v>
      </c>
      <c r="M198">
        <v>2.2595601851121864E-2</v>
      </c>
      <c r="N198"/>
      <c r="O198">
        <v>1.78</v>
      </c>
      <c r="P198"/>
      <c r="Q198" s="17">
        <v>0.81</v>
      </c>
      <c r="R198">
        <v>31</v>
      </c>
      <c r="S198">
        <v>2</v>
      </c>
      <c r="T198">
        <v>7</v>
      </c>
      <c r="U198" s="6"/>
      <c r="V198" s="6"/>
      <c r="W198" s="6" t="s">
        <v>549</v>
      </c>
      <c r="X198" s="6" t="s">
        <v>550</v>
      </c>
      <c r="Y198" t="s">
        <v>551</v>
      </c>
    </row>
    <row r="199" spans="1:25" ht="14.5" x14ac:dyDescent="0.35">
      <c r="A199" s="1" t="s">
        <v>73</v>
      </c>
      <c r="B199" s="10" t="s">
        <v>364</v>
      </c>
      <c r="D199" t="s">
        <v>402</v>
      </c>
      <c r="F199" t="s">
        <v>404</v>
      </c>
      <c r="G199"/>
      <c r="K199" s="1" t="s">
        <v>37</v>
      </c>
      <c r="L199" s="1" t="s">
        <v>548</v>
      </c>
      <c r="M199">
        <v>4.3507157507873212E-4</v>
      </c>
      <c r="N199"/>
      <c r="O199">
        <v>3.29</v>
      </c>
      <c r="P199"/>
      <c r="Q199" s="17">
        <v>0.84</v>
      </c>
      <c r="R199">
        <v>18</v>
      </c>
      <c r="S199">
        <v>6.5</v>
      </c>
      <c r="T199">
        <v>23</v>
      </c>
      <c r="U199" s="6"/>
      <c r="V199" s="6"/>
      <c r="W199" s="6" t="s">
        <v>549</v>
      </c>
      <c r="X199" s="6" t="s">
        <v>550</v>
      </c>
      <c r="Y199" t="s">
        <v>551</v>
      </c>
    </row>
    <row r="200" spans="1:25" ht="14.5" x14ac:dyDescent="0.35">
      <c r="A200" s="1" t="s">
        <v>73</v>
      </c>
      <c r="B200" s="10" t="s">
        <v>364</v>
      </c>
      <c r="D200" s="15" t="s">
        <v>367</v>
      </c>
      <c r="F200" s="15" t="s">
        <v>562</v>
      </c>
      <c r="G200" s="15"/>
      <c r="H200" s="15"/>
      <c r="K200" s="1" t="s">
        <v>37</v>
      </c>
      <c r="M200" s="15">
        <v>9.1866861562446642E-3</v>
      </c>
      <c r="N200" s="15"/>
      <c r="O200" s="15">
        <v>2.5499999999999998</v>
      </c>
      <c r="Q200" s="18">
        <v>0.91</v>
      </c>
      <c r="R200" s="15">
        <v>11</v>
      </c>
      <c r="S200" s="15">
        <v>4.2</v>
      </c>
      <c r="T200" s="15">
        <v>8.6999999999999993</v>
      </c>
      <c r="U200" s="6"/>
      <c r="V200" s="6"/>
      <c r="W200" s="6" t="s">
        <v>570</v>
      </c>
      <c r="X200" s="6" t="s">
        <v>550</v>
      </c>
      <c r="Y200" s="1" t="s">
        <v>571</v>
      </c>
    </row>
    <row r="201" spans="1:25" ht="14.5" x14ac:dyDescent="0.35">
      <c r="A201" s="1" t="s">
        <v>73</v>
      </c>
      <c r="B201" s="10" t="s">
        <v>364</v>
      </c>
      <c r="D201" s="15" t="s">
        <v>565</v>
      </c>
      <c r="F201" s="15" t="s">
        <v>403</v>
      </c>
      <c r="G201" s="15"/>
      <c r="H201" s="15"/>
      <c r="K201" s="1" t="s">
        <v>37</v>
      </c>
      <c r="M201" s="15">
        <v>3.9659890890910649E-3</v>
      </c>
      <c r="N201" s="15"/>
      <c r="O201" s="15">
        <v>1.91</v>
      </c>
      <c r="Q201" s="18">
        <v>0.54</v>
      </c>
      <c r="R201" s="15">
        <v>28</v>
      </c>
      <c r="S201" s="15">
        <v>4.0999999999999996</v>
      </c>
      <c r="T201" s="15">
        <v>18.399999999999999</v>
      </c>
      <c r="U201" s="6"/>
      <c r="V201" s="6"/>
      <c r="W201" s="6" t="s">
        <v>570</v>
      </c>
      <c r="X201" s="6" t="s">
        <v>550</v>
      </c>
      <c r="Y201" s="1" t="s">
        <v>571</v>
      </c>
    </row>
    <row r="202" spans="1:25" ht="14.5" x14ac:dyDescent="0.35">
      <c r="A202" s="1" t="s">
        <v>73</v>
      </c>
      <c r="B202" s="10" t="s">
        <v>364</v>
      </c>
      <c r="D202" s="15" t="s">
        <v>566</v>
      </c>
      <c r="F202" s="15" t="s">
        <v>404</v>
      </c>
      <c r="G202" s="15"/>
      <c r="H202" s="15"/>
      <c r="K202" s="1" t="s">
        <v>37</v>
      </c>
      <c r="M202" s="15">
        <v>1.1369399193326783E-4</v>
      </c>
      <c r="N202" s="15"/>
      <c r="O202" s="15">
        <v>3.38</v>
      </c>
      <c r="Q202" s="18">
        <v>0.95</v>
      </c>
      <c r="R202" s="15">
        <v>10</v>
      </c>
      <c r="S202" s="15">
        <v>10.3</v>
      </c>
      <c r="T202" s="15">
        <v>24.5</v>
      </c>
      <c r="U202" s="6"/>
      <c r="V202" s="6"/>
      <c r="W202" s="6" t="s">
        <v>570</v>
      </c>
      <c r="X202" s="6" t="s">
        <v>550</v>
      </c>
      <c r="Y202" s="1" t="s">
        <v>571</v>
      </c>
    </row>
    <row r="203" spans="1:25" ht="14.5" x14ac:dyDescent="0.35">
      <c r="A203" s="1" t="s">
        <v>73</v>
      </c>
      <c r="B203" s="10" t="s">
        <v>364</v>
      </c>
      <c r="D203" s="15" t="s">
        <v>390</v>
      </c>
      <c r="F203" s="15"/>
      <c r="G203" s="15"/>
      <c r="H203" s="15"/>
      <c r="K203" s="1" t="s">
        <v>37</v>
      </c>
      <c r="M203" s="15">
        <v>2.9088426258125841E-3</v>
      </c>
      <c r="N203" s="15"/>
      <c r="O203" s="15">
        <v>2.4900000000000002</v>
      </c>
      <c r="Q203" s="18">
        <v>0.92</v>
      </c>
      <c r="R203" s="15">
        <v>20</v>
      </c>
      <c r="S203" s="15">
        <v>1.2</v>
      </c>
      <c r="T203" s="15">
        <v>7.8</v>
      </c>
      <c r="U203" s="6"/>
      <c r="V203" s="6"/>
      <c r="W203" s="6" t="s">
        <v>570</v>
      </c>
      <c r="X203" s="6" t="s">
        <v>550</v>
      </c>
      <c r="Y203" s="1" t="s">
        <v>571</v>
      </c>
    </row>
    <row r="204" spans="1:25" ht="14.5" x14ac:dyDescent="0.35">
      <c r="A204" s="1" t="s">
        <v>73</v>
      </c>
      <c r="B204" s="10" t="s">
        <v>364</v>
      </c>
      <c r="D204" s="15" t="s">
        <v>384</v>
      </c>
      <c r="F204" s="15"/>
      <c r="G204" s="15"/>
      <c r="H204" s="15"/>
      <c r="K204" s="1" t="s">
        <v>37</v>
      </c>
      <c r="M204" s="15">
        <v>4.8082845205838073E-4</v>
      </c>
      <c r="N204" s="15"/>
      <c r="O204" s="15">
        <v>3.18</v>
      </c>
      <c r="Q204" s="18">
        <v>0.6</v>
      </c>
      <c r="R204" s="15">
        <v>14</v>
      </c>
      <c r="S204" s="15">
        <v>2.4</v>
      </c>
      <c r="T204" s="15">
        <v>7</v>
      </c>
      <c r="U204" s="6"/>
      <c r="V204" s="6"/>
      <c r="W204" s="6" t="s">
        <v>570</v>
      </c>
      <c r="X204" s="6" t="s">
        <v>550</v>
      </c>
      <c r="Y204" s="1" t="s">
        <v>571</v>
      </c>
    </row>
    <row r="205" spans="1:25" ht="14.5" x14ac:dyDescent="0.35">
      <c r="A205" s="1" t="s">
        <v>73</v>
      </c>
      <c r="B205" s="10" t="s">
        <v>364</v>
      </c>
      <c r="D205" s="15" t="s">
        <v>371</v>
      </c>
      <c r="F205" s="15" t="s">
        <v>568</v>
      </c>
      <c r="G205" s="15"/>
      <c r="H205" s="15"/>
      <c r="K205" s="1" t="s">
        <v>37</v>
      </c>
      <c r="M205" s="15">
        <v>1.8363047770289071E-3</v>
      </c>
      <c r="N205" s="15"/>
      <c r="O205" s="15">
        <v>2.5</v>
      </c>
      <c r="Q205" s="18">
        <v>0.7</v>
      </c>
      <c r="R205" s="15">
        <v>21</v>
      </c>
      <c r="S205" s="15">
        <v>1.4</v>
      </c>
      <c r="T205" s="15">
        <v>9.5</v>
      </c>
      <c r="U205" s="6"/>
      <c r="V205" s="6"/>
      <c r="W205" s="6" t="s">
        <v>570</v>
      </c>
      <c r="X205" s="6" t="s">
        <v>550</v>
      </c>
      <c r="Y205" s="1" t="s">
        <v>571</v>
      </c>
    </row>
    <row r="206" spans="1:25" ht="14.5" x14ac:dyDescent="0.35">
      <c r="A206" s="1" t="s">
        <v>73</v>
      </c>
      <c r="B206" s="10" t="s">
        <v>364</v>
      </c>
      <c r="D206" s="15" t="s">
        <v>371</v>
      </c>
      <c r="F206" s="15"/>
      <c r="G206" s="15"/>
      <c r="H206" s="15"/>
      <c r="K206" s="1" t="s">
        <v>37</v>
      </c>
      <c r="M206" s="15">
        <v>1.2683987510072388E-3</v>
      </c>
      <c r="N206" s="15"/>
      <c r="O206" s="15">
        <v>2.63</v>
      </c>
      <c r="Q206" s="18">
        <v>0.67</v>
      </c>
      <c r="R206" s="15">
        <v>35</v>
      </c>
      <c r="S206" s="15">
        <v>1.4</v>
      </c>
      <c r="T206" s="15">
        <v>9.5</v>
      </c>
      <c r="U206" s="6"/>
      <c r="V206" s="6"/>
      <c r="W206" s="6" t="s">
        <v>570</v>
      </c>
      <c r="X206" s="6" t="s">
        <v>550</v>
      </c>
      <c r="Y206" s="1" t="s">
        <v>571</v>
      </c>
    </row>
    <row r="207" spans="1:25" ht="14.5" x14ac:dyDescent="0.35">
      <c r="A207" s="1" t="s">
        <v>73</v>
      </c>
      <c r="B207" s="10" t="s">
        <v>364</v>
      </c>
      <c r="D207" s="15" t="s">
        <v>365</v>
      </c>
      <c r="F207" s="15" t="s">
        <v>366</v>
      </c>
      <c r="G207" s="15"/>
      <c r="H207" s="15"/>
      <c r="K207" s="1" t="s">
        <v>37</v>
      </c>
      <c r="M207" s="15">
        <v>1.3334309456133593E-3</v>
      </c>
      <c r="N207" s="15"/>
      <c r="O207" s="15">
        <v>2.86</v>
      </c>
      <c r="Q207" s="18">
        <v>0.94</v>
      </c>
      <c r="R207" s="15">
        <v>26</v>
      </c>
      <c r="S207" s="15">
        <v>1.8</v>
      </c>
      <c r="T207" s="15">
        <v>22.6</v>
      </c>
      <c r="U207" s="6"/>
      <c r="V207" s="6"/>
      <c r="W207" s="6" t="s">
        <v>570</v>
      </c>
      <c r="X207" s="6" t="s">
        <v>550</v>
      </c>
      <c r="Y207" s="1" t="s">
        <v>571</v>
      </c>
    </row>
    <row r="208" spans="1:25" ht="14.5" x14ac:dyDescent="0.35">
      <c r="A208" s="1" t="s">
        <v>73</v>
      </c>
      <c r="B208" s="10" t="s">
        <v>364</v>
      </c>
      <c r="F208" s="15"/>
      <c r="G208" s="15"/>
      <c r="H208" s="15"/>
      <c r="J208" s="15" t="s">
        <v>567</v>
      </c>
      <c r="K208" s="1" t="s">
        <v>37</v>
      </c>
      <c r="M208" s="15">
        <f>EXP(-5.26)</f>
        <v>5.1953047187052312E-3</v>
      </c>
      <c r="N208" s="15"/>
      <c r="O208" s="15">
        <v>2.2400000000000002</v>
      </c>
      <c r="Q208" s="18">
        <v>0.6</v>
      </c>
      <c r="R208" s="15">
        <v>15</v>
      </c>
      <c r="S208" s="15">
        <v>1.4</v>
      </c>
      <c r="T208" s="15">
        <v>4.5999999999999996</v>
      </c>
      <c r="U208" s="6"/>
      <c r="V208" s="6"/>
      <c r="W208" s="6"/>
      <c r="X208" s="6"/>
    </row>
    <row r="209" spans="1:27" x14ac:dyDescent="0.3">
      <c r="A209" s="1" t="s">
        <v>73</v>
      </c>
      <c r="B209" s="1" t="s">
        <v>74</v>
      </c>
      <c r="D209" s="1" t="s">
        <v>75</v>
      </c>
      <c r="F209" s="1" t="s">
        <v>76</v>
      </c>
      <c r="K209" s="1" t="s">
        <v>37</v>
      </c>
      <c r="M209" s="3">
        <v>7.7000000000000002E-3</v>
      </c>
      <c r="N209" s="3">
        <v>1.9E-3</v>
      </c>
      <c r="O209" s="3">
        <v>2.5880000000000001</v>
      </c>
      <c r="P209" s="3">
        <v>0.2</v>
      </c>
      <c r="Q209" s="4">
        <v>0.59</v>
      </c>
      <c r="R209" s="5">
        <v>14</v>
      </c>
      <c r="S209" s="2">
        <v>2.6</v>
      </c>
      <c r="T209" s="2">
        <v>9.6</v>
      </c>
      <c r="U209" s="6"/>
      <c r="V209" s="6"/>
      <c r="W209" s="6" t="s">
        <v>14</v>
      </c>
      <c r="X209" s="1" t="s">
        <v>451</v>
      </c>
      <c r="Y209" s="1" t="s">
        <v>15</v>
      </c>
      <c r="Z209" s="1" t="s">
        <v>284</v>
      </c>
      <c r="AA209" s="6" t="s">
        <v>361</v>
      </c>
    </row>
    <row r="210" spans="1:27" x14ac:dyDescent="0.3">
      <c r="A210" s="1" t="s">
        <v>73</v>
      </c>
      <c r="B210" s="1" t="s">
        <v>74</v>
      </c>
      <c r="D210" s="1" t="s">
        <v>77</v>
      </c>
      <c r="F210" s="1" t="s">
        <v>78</v>
      </c>
      <c r="G210" s="1" t="s">
        <v>79</v>
      </c>
      <c r="K210" s="1" t="s">
        <v>37</v>
      </c>
      <c r="M210" s="3">
        <v>4.0000000000000001E-3</v>
      </c>
      <c r="N210" s="3"/>
      <c r="O210" s="3">
        <v>2.3780000000000001</v>
      </c>
      <c r="P210" s="3"/>
      <c r="R210" s="5"/>
      <c r="S210" s="2"/>
      <c r="T210" s="2"/>
      <c r="U210" s="6"/>
      <c r="V210" s="6"/>
      <c r="W210" s="6" t="s">
        <v>94</v>
      </c>
      <c r="X210" s="1" t="s">
        <v>451</v>
      </c>
      <c r="Y210" s="1" t="s">
        <v>103</v>
      </c>
      <c r="Z210" s="1" t="s">
        <v>284</v>
      </c>
      <c r="AA210" s="6" t="s">
        <v>361</v>
      </c>
    </row>
    <row r="211" spans="1:27" x14ac:dyDescent="0.3">
      <c r="A211" s="1" t="s">
        <v>73</v>
      </c>
      <c r="B211" s="1" t="s">
        <v>74</v>
      </c>
      <c r="D211" s="1" t="s">
        <v>77</v>
      </c>
      <c r="F211" s="1" t="s">
        <v>78</v>
      </c>
      <c r="K211" s="1" t="s">
        <v>36</v>
      </c>
      <c r="M211" s="3">
        <v>7.9000000000000008E-3</v>
      </c>
      <c r="N211" s="3">
        <v>8.9999999999999998E-4</v>
      </c>
      <c r="O211" s="3">
        <v>2.6909999999999998</v>
      </c>
      <c r="P211" s="3">
        <v>0.01</v>
      </c>
      <c r="Q211" s="4">
        <v>0.99</v>
      </c>
      <c r="R211" s="5">
        <v>8</v>
      </c>
      <c r="S211" s="2">
        <v>0.6</v>
      </c>
      <c r="T211" s="2">
        <v>6.6</v>
      </c>
      <c r="U211" s="6">
        <v>4.9000000000000004</v>
      </c>
      <c r="V211" s="6">
        <v>0.4</v>
      </c>
      <c r="W211" s="6" t="s">
        <v>9</v>
      </c>
      <c r="X211" s="1" t="s">
        <v>451</v>
      </c>
      <c r="Y211" s="1" t="s">
        <v>52</v>
      </c>
      <c r="Z211" s="1" t="s">
        <v>284</v>
      </c>
      <c r="AA211" s="6" t="s">
        <v>361</v>
      </c>
    </row>
    <row r="212" spans="1:27" x14ac:dyDescent="0.3">
      <c r="A212" s="1" t="s">
        <v>73</v>
      </c>
      <c r="B212" s="1" t="s">
        <v>74</v>
      </c>
      <c r="D212" s="1" t="s">
        <v>77</v>
      </c>
      <c r="F212" s="1" t="s">
        <v>78</v>
      </c>
      <c r="K212" s="1" t="s">
        <v>37</v>
      </c>
      <c r="M212" s="3">
        <v>6.7999999999999996E-3</v>
      </c>
      <c r="N212" s="3">
        <v>2.0000000000000001E-4</v>
      </c>
      <c r="O212" s="3">
        <v>2.72</v>
      </c>
      <c r="P212" s="3">
        <v>8.5000000000000006E-2</v>
      </c>
      <c r="Q212" s="4">
        <v>0.96</v>
      </c>
      <c r="R212" s="5">
        <v>49</v>
      </c>
      <c r="S212" s="2">
        <v>2.1</v>
      </c>
      <c r="T212" s="2">
        <v>6.2</v>
      </c>
      <c r="U212" s="6"/>
      <c r="V212" s="6"/>
      <c r="W212" s="6" t="s">
        <v>91</v>
      </c>
      <c r="X212" s="1" t="s">
        <v>451</v>
      </c>
      <c r="Y212" s="1" t="s">
        <v>98</v>
      </c>
      <c r="Z212" s="1" t="s">
        <v>284</v>
      </c>
      <c r="AA212" s="6" t="s">
        <v>361</v>
      </c>
    </row>
    <row r="213" spans="1:27" x14ac:dyDescent="0.3">
      <c r="A213" s="1" t="s">
        <v>73</v>
      </c>
      <c r="B213" s="1" t="s">
        <v>74</v>
      </c>
      <c r="D213" s="1" t="s">
        <v>77</v>
      </c>
      <c r="F213" s="1" t="s">
        <v>78</v>
      </c>
      <c r="K213" s="1" t="s">
        <v>37</v>
      </c>
      <c r="M213" s="3">
        <v>3.3E-3</v>
      </c>
      <c r="N213" s="3">
        <v>2.0000000000000001E-4</v>
      </c>
      <c r="O213" s="3">
        <v>3.1960000000000002</v>
      </c>
      <c r="P213" s="3">
        <v>0.27</v>
      </c>
      <c r="Q213" s="4">
        <v>0.81</v>
      </c>
      <c r="R213" s="5">
        <v>36</v>
      </c>
      <c r="S213" s="2">
        <v>1.8</v>
      </c>
      <c r="T213" s="2">
        <v>8.5</v>
      </c>
      <c r="U213" s="6"/>
      <c r="V213" s="6"/>
      <c r="W213" s="6" t="s">
        <v>9</v>
      </c>
      <c r="X213" s="1" t="s">
        <v>451</v>
      </c>
      <c r="Y213" s="1" t="s">
        <v>104</v>
      </c>
      <c r="Z213" s="1" t="s">
        <v>284</v>
      </c>
      <c r="AA213" s="6" t="s">
        <v>361</v>
      </c>
    </row>
    <row r="214" spans="1:27" x14ac:dyDescent="0.3">
      <c r="A214" s="1" t="s">
        <v>73</v>
      </c>
      <c r="B214" s="1" t="s">
        <v>74</v>
      </c>
      <c r="D214" s="1" t="s">
        <v>77</v>
      </c>
      <c r="F214" s="1" t="s">
        <v>78</v>
      </c>
      <c r="K214" s="1" t="s">
        <v>37</v>
      </c>
      <c r="M214" s="3">
        <v>9.4000000000000004E-3</v>
      </c>
      <c r="N214" s="3">
        <v>6.9999999999999999E-4</v>
      </c>
      <c r="O214" s="3">
        <v>2.9380000000000002</v>
      </c>
      <c r="P214" s="3">
        <v>0.26600000000000001</v>
      </c>
      <c r="Q214" s="4">
        <v>0.87</v>
      </c>
      <c r="R214" s="5">
        <v>52</v>
      </c>
      <c r="S214" s="2">
        <v>1.5</v>
      </c>
      <c r="T214" s="2">
        <v>6.6</v>
      </c>
      <c r="U214" s="6"/>
      <c r="V214" s="6"/>
      <c r="W214" s="6" t="s">
        <v>95</v>
      </c>
      <c r="X214" s="1" t="s">
        <v>451</v>
      </c>
      <c r="Y214" s="1" t="s">
        <v>15</v>
      </c>
      <c r="Z214" s="1" t="s">
        <v>284</v>
      </c>
      <c r="AA214" s="6" t="s">
        <v>361</v>
      </c>
    </row>
    <row r="215" spans="1:27" x14ac:dyDescent="0.3">
      <c r="A215" s="1" t="s">
        <v>73</v>
      </c>
      <c r="B215" s="1" t="s">
        <v>74</v>
      </c>
      <c r="D215" s="1" t="s">
        <v>77</v>
      </c>
      <c r="F215" s="1" t="s">
        <v>78</v>
      </c>
      <c r="K215" s="1" t="s">
        <v>37</v>
      </c>
      <c r="M215" s="3">
        <v>7.4999999999999997E-3</v>
      </c>
      <c r="N215" s="3"/>
      <c r="O215" s="3">
        <v>2.423</v>
      </c>
      <c r="P215" s="3"/>
      <c r="Q215" s="4">
        <v>0.94</v>
      </c>
      <c r="R215" s="5">
        <v>94</v>
      </c>
      <c r="S215" s="2"/>
      <c r="T215" s="2"/>
      <c r="U215" s="6"/>
      <c r="V215" s="6"/>
      <c r="W215" s="6" t="s">
        <v>9</v>
      </c>
      <c r="X215" s="1" t="s">
        <v>451</v>
      </c>
      <c r="Y215" s="1" t="s">
        <v>105</v>
      </c>
      <c r="Z215" s="1" t="s">
        <v>284</v>
      </c>
      <c r="AA215" s="6" t="s">
        <v>361</v>
      </c>
    </row>
    <row r="216" spans="1:27" x14ac:dyDescent="0.3">
      <c r="A216" s="1" t="s">
        <v>73</v>
      </c>
      <c r="B216" s="1" t="s">
        <v>74</v>
      </c>
      <c r="D216" s="1" t="s">
        <v>77</v>
      </c>
      <c r="F216" s="1" t="s">
        <v>80</v>
      </c>
      <c r="K216" s="1" t="s">
        <v>37</v>
      </c>
      <c r="M216" s="3">
        <v>8.0999999999999996E-4</v>
      </c>
      <c r="N216" s="3">
        <v>6.0000000000000002E-5</v>
      </c>
      <c r="O216" s="3">
        <v>3.5169999999999999</v>
      </c>
      <c r="P216" s="3">
        <v>0.40200000000000002</v>
      </c>
      <c r="Q216" s="4">
        <v>0.8</v>
      </c>
      <c r="R216" s="5">
        <v>21</v>
      </c>
      <c r="S216" s="2">
        <v>4.3</v>
      </c>
      <c r="T216" s="2">
        <v>8.1999999999999993</v>
      </c>
      <c r="U216" s="6"/>
      <c r="V216" s="6"/>
      <c r="W216" s="6" t="s">
        <v>96</v>
      </c>
      <c r="X216" s="1" t="s">
        <v>451</v>
      </c>
      <c r="Y216" s="1" t="s">
        <v>98</v>
      </c>
      <c r="Z216" s="1" t="s">
        <v>284</v>
      </c>
      <c r="AA216" s="6" t="s">
        <v>361</v>
      </c>
    </row>
    <row r="217" spans="1:27" x14ac:dyDescent="0.3">
      <c r="A217" s="1" t="s">
        <v>73</v>
      </c>
      <c r="B217" s="1" t="s">
        <v>74</v>
      </c>
      <c r="D217" s="1" t="s">
        <v>77</v>
      </c>
      <c r="F217" s="1" t="s">
        <v>81</v>
      </c>
      <c r="K217" s="1" t="s">
        <v>37</v>
      </c>
      <c r="M217" s="3">
        <v>5.1999999999999998E-3</v>
      </c>
      <c r="N217" s="3">
        <v>8.9999999999999998E-4</v>
      </c>
      <c r="O217" s="3">
        <v>2.7210000000000001</v>
      </c>
      <c r="P217" s="3">
        <v>0.52100000000000002</v>
      </c>
      <c r="Q217" s="4">
        <v>0.71</v>
      </c>
      <c r="R217" s="5">
        <v>36</v>
      </c>
      <c r="S217" s="2">
        <v>1.9</v>
      </c>
      <c r="T217" s="2">
        <v>7.5</v>
      </c>
      <c r="U217" s="6"/>
      <c r="V217" s="6"/>
      <c r="W217" s="6" t="s">
        <v>14</v>
      </c>
      <c r="X217" s="1" t="s">
        <v>451</v>
      </c>
      <c r="Y217" s="1" t="s">
        <v>15</v>
      </c>
      <c r="Z217" s="1" t="s">
        <v>284</v>
      </c>
      <c r="AA217" s="6" t="s">
        <v>361</v>
      </c>
    </row>
    <row r="218" spans="1:27" x14ac:dyDescent="0.3">
      <c r="A218" s="1" t="s">
        <v>73</v>
      </c>
      <c r="B218" s="1" t="s">
        <v>74</v>
      </c>
      <c r="D218" s="1" t="s">
        <v>77</v>
      </c>
      <c r="F218" s="1" t="s">
        <v>82</v>
      </c>
      <c r="K218" s="1" t="s">
        <v>37</v>
      </c>
      <c r="M218" s="3">
        <v>2.3E-3</v>
      </c>
      <c r="N218" s="3">
        <v>8.0000000000000004E-4</v>
      </c>
      <c r="O218" s="3">
        <v>3.2639999999999998</v>
      </c>
      <c r="P218" s="3">
        <v>0.53200000000000003</v>
      </c>
      <c r="Q218" s="4">
        <v>0.62</v>
      </c>
      <c r="R218" s="5">
        <v>22</v>
      </c>
      <c r="S218" s="2">
        <v>1.6</v>
      </c>
      <c r="T218" s="2">
        <v>5.4</v>
      </c>
      <c r="U218" s="6"/>
      <c r="V218" s="6"/>
      <c r="W218" s="6" t="s">
        <v>14</v>
      </c>
      <c r="X218" s="1" t="s">
        <v>451</v>
      </c>
      <c r="Y218" s="1" t="s">
        <v>15</v>
      </c>
      <c r="Z218" s="1" t="s">
        <v>284</v>
      </c>
      <c r="AA218" s="6" t="s">
        <v>361</v>
      </c>
    </row>
    <row r="219" spans="1:27" x14ac:dyDescent="0.3">
      <c r="A219" s="1" t="s">
        <v>73</v>
      </c>
      <c r="B219" s="1" t="s">
        <v>74</v>
      </c>
      <c r="D219" s="1" t="s">
        <v>83</v>
      </c>
      <c r="F219" s="1" t="s">
        <v>84</v>
      </c>
      <c r="K219" s="1" t="s">
        <v>37</v>
      </c>
      <c r="M219" s="3">
        <v>1.1599999999999999E-2</v>
      </c>
      <c r="N219" s="3">
        <v>1E-3</v>
      </c>
      <c r="O219" s="3">
        <v>2.9049999999999998</v>
      </c>
      <c r="P219" s="3">
        <v>0.22</v>
      </c>
      <c r="Q219" s="4">
        <v>0.78</v>
      </c>
      <c r="R219" s="5">
        <v>51</v>
      </c>
      <c r="S219" s="2">
        <v>1.9</v>
      </c>
      <c r="T219" s="2">
        <v>9.8000000000000007</v>
      </c>
      <c r="U219" s="6"/>
      <c r="V219" s="6"/>
      <c r="W219" s="6" t="s">
        <v>91</v>
      </c>
      <c r="X219" s="1" t="s">
        <v>451</v>
      </c>
      <c r="Y219" s="1" t="s">
        <v>98</v>
      </c>
      <c r="Z219" s="1" t="s">
        <v>284</v>
      </c>
      <c r="AA219" s="6" t="s">
        <v>361</v>
      </c>
    </row>
    <row r="220" spans="1:27" x14ac:dyDescent="0.3">
      <c r="A220" s="1" t="s">
        <v>73</v>
      </c>
      <c r="B220" s="1" t="s">
        <v>74</v>
      </c>
      <c r="D220" s="1" t="s">
        <v>85</v>
      </c>
      <c r="F220" s="1" t="s">
        <v>86</v>
      </c>
      <c r="G220" s="1" t="s">
        <v>87</v>
      </c>
      <c r="K220" s="1" t="s">
        <v>37</v>
      </c>
      <c r="M220" s="3">
        <v>5.7999999999999996E-3</v>
      </c>
      <c r="N220" s="3">
        <v>2.0000000000000001E-4</v>
      </c>
      <c r="O220" s="3">
        <v>2.7120000000000002</v>
      </c>
      <c r="P220" s="3">
        <v>0.14000000000000001</v>
      </c>
      <c r="Q220" s="4">
        <v>0.94</v>
      </c>
      <c r="R220" s="5">
        <v>25</v>
      </c>
      <c r="S220" s="2">
        <v>1.6</v>
      </c>
      <c r="T220" s="2">
        <v>4.4000000000000004</v>
      </c>
      <c r="U220" s="6"/>
      <c r="V220" s="6"/>
      <c r="W220" s="6" t="s">
        <v>96</v>
      </c>
      <c r="X220" s="1" t="s">
        <v>451</v>
      </c>
      <c r="Y220" s="1" t="s">
        <v>98</v>
      </c>
      <c r="Z220" s="1" t="s">
        <v>284</v>
      </c>
      <c r="AA220" s="6" t="s">
        <v>361</v>
      </c>
    </row>
    <row r="221" spans="1:27" x14ac:dyDescent="0.3">
      <c r="A221" s="1" t="s">
        <v>73</v>
      </c>
      <c r="B221" s="1" t="s">
        <v>74</v>
      </c>
      <c r="D221" s="1" t="s">
        <v>85</v>
      </c>
      <c r="F221" s="1" t="s">
        <v>86</v>
      </c>
      <c r="K221" s="1" t="s">
        <v>37</v>
      </c>
      <c r="M221" s="3">
        <v>6.8999999999999999E-3</v>
      </c>
      <c r="N221" s="3">
        <v>4.0000000000000002E-4</v>
      </c>
      <c r="O221" s="3">
        <v>2.61</v>
      </c>
      <c r="P221" s="3">
        <v>0.17</v>
      </c>
      <c r="Q221" s="4">
        <v>0.69</v>
      </c>
      <c r="R221" s="5">
        <v>14</v>
      </c>
      <c r="S221" s="2">
        <v>1.8</v>
      </c>
      <c r="T221" s="2">
        <v>6</v>
      </c>
      <c r="W221" s="6" t="s">
        <v>9</v>
      </c>
      <c r="X221" s="1" t="s">
        <v>451</v>
      </c>
      <c r="Y221" s="1" t="s">
        <v>104</v>
      </c>
      <c r="Z221" s="1" t="s">
        <v>284</v>
      </c>
      <c r="AA221" s="6" t="s">
        <v>361</v>
      </c>
    </row>
    <row r="222" spans="1:27" x14ac:dyDescent="0.3">
      <c r="A222" s="1" t="s">
        <v>73</v>
      </c>
      <c r="B222" s="1" t="s">
        <v>74</v>
      </c>
      <c r="D222" s="1" t="s">
        <v>85</v>
      </c>
      <c r="F222" s="1" t="s">
        <v>86</v>
      </c>
      <c r="K222" s="1" t="s">
        <v>37</v>
      </c>
      <c r="M222" s="3">
        <v>5.4000000000000003E-3</v>
      </c>
      <c r="N222" s="3">
        <v>1.1999999999999999E-3</v>
      </c>
      <c r="O222" s="3">
        <v>2.8420000000000001</v>
      </c>
      <c r="P222" s="3">
        <v>0.19900000000000001</v>
      </c>
      <c r="Q222" s="4">
        <v>0.85</v>
      </c>
      <c r="R222" s="5">
        <v>35</v>
      </c>
      <c r="S222" s="2">
        <v>1.7</v>
      </c>
      <c r="T222" s="2">
        <v>6.4</v>
      </c>
      <c r="U222" s="6"/>
      <c r="V222" s="6"/>
      <c r="W222" s="6" t="s">
        <v>14</v>
      </c>
      <c r="X222" s="1" t="s">
        <v>451</v>
      </c>
      <c r="Y222" s="1" t="s">
        <v>15</v>
      </c>
      <c r="Z222" s="1" t="s">
        <v>284</v>
      </c>
      <c r="AA222" s="6" t="s">
        <v>361</v>
      </c>
    </row>
    <row r="223" spans="1:27" x14ac:dyDescent="0.3">
      <c r="A223" s="1" t="s">
        <v>73</v>
      </c>
      <c r="B223" s="1" t="s">
        <v>74</v>
      </c>
      <c r="D223" s="1" t="s">
        <v>85</v>
      </c>
      <c r="F223" s="1" t="s">
        <v>86</v>
      </c>
      <c r="K223" s="1" t="s">
        <v>37</v>
      </c>
      <c r="M223" s="3">
        <v>3.3E-3</v>
      </c>
      <c r="N223" s="3">
        <v>2.9999999999999997E-4</v>
      </c>
      <c r="O223" s="3">
        <v>2.9239999999999999</v>
      </c>
      <c r="P223" s="3">
        <v>0.24399999999999999</v>
      </c>
      <c r="Q223" s="4">
        <v>0.9</v>
      </c>
      <c r="R223" s="5">
        <v>18</v>
      </c>
      <c r="S223" s="2">
        <v>1.4</v>
      </c>
      <c r="T223" s="2">
        <v>4.4000000000000004</v>
      </c>
      <c r="U223" s="6"/>
      <c r="V223" s="6"/>
      <c r="W223" s="6" t="s">
        <v>97</v>
      </c>
      <c r="X223" s="1" t="s">
        <v>451</v>
      </c>
      <c r="Y223" s="1" t="s">
        <v>98</v>
      </c>
      <c r="Z223" s="1" t="s">
        <v>284</v>
      </c>
      <c r="AA223" s="6" t="s">
        <v>361</v>
      </c>
    </row>
    <row r="224" spans="1:27" x14ac:dyDescent="0.3">
      <c r="A224" s="1" t="s">
        <v>73</v>
      </c>
      <c r="B224" s="1" t="s">
        <v>74</v>
      </c>
      <c r="D224" s="1" t="s">
        <v>88</v>
      </c>
      <c r="F224" s="1" t="s">
        <v>106</v>
      </c>
      <c r="K224" s="1" t="s">
        <v>37</v>
      </c>
      <c r="M224" s="3">
        <v>2.5700000000000001E-2</v>
      </c>
      <c r="N224" s="3">
        <v>2.5000000000000001E-3</v>
      </c>
      <c r="O224" s="3">
        <v>2.2519999999999998</v>
      </c>
      <c r="P224" s="3">
        <v>0.35199999999999998</v>
      </c>
      <c r="Q224" s="4">
        <v>0.62</v>
      </c>
      <c r="R224" s="5">
        <v>28</v>
      </c>
      <c r="S224" s="2">
        <v>2.4</v>
      </c>
      <c r="T224" s="2">
        <v>9.8000000000000007</v>
      </c>
      <c r="U224" s="6"/>
      <c r="V224" s="6"/>
      <c r="W224" s="6" t="s">
        <v>14</v>
      </c>
      <c r="X224" s="1" t="s">
        <v>451</v>
      </c>
      <c r="Y224" s="1" t="s">
        <v>15</v>
      </c>
      <c r="Z224" s="1" t="s">
        <v>284</v>
      </c>
      <c r="AA224" s="6" t="s">
        <v>361</v>
      </c>
    </row>
    <row r="225" spans="1:27" x14ac:dyDescent="0.3">
      <c r="A225" s="1" t="s">
        <v>73</v>
      </c>
      <c r="B225" s="1" t="s">
        <v>74</v>
      </c>
      <c r="D225" s="1" t="s">
        <v>88</v>
      </c>
      <c r="F225" s="1" t="s">
        <v>106</v>
      </c>
      <c r="K225" s="1" t="s">
        <v>37</v>
      </c>
      <c r="M225" s="3">
        <v>1.9E-3</v>
      </c>
      <c r="N225" s="3"/>
      <c r="O225" s="3">
        <v>3.46</v>
      </c>
      <c r="P225" s="3"/>
      <c r="Q225" s="4">
        <v>0.91</v>
      </c>
      <c r="R225" s="5">
        <v>256</v>
      </c>
      <c r="S225" s="2"/>
      <c r="T225" s="2"/>
      <c r="U225" s="6"/>
      <c r="V225" s="6"/>
      <c r="W225" s="6" t="s">
        <v>26</v>
      </c>
      <c r="X225" s="1" t="s">
        <v>451</v>
      </c>
      <c r="Y225" s="1" t="s">
        <v>140</v>
      </c>
      <c r="Z225" s="1" t="s">
        <v>284</v>
      </c>
      <c r="AA225" s="6" t="s">
        <v>361</v>
      </c>
    </row>
    <row r="226" spans="1:27" x14ac:dyDescent="0.3">
      <c r="A226" s="1" t="s">
        <v>73</v>
      </c>
      <c r="B226" s="1" t="s">
        <v>74</v>
      </c>
      <c r="D226" s="1" t="s">
        <v>88</v>
      </c>
      <c r="F226" s="1" t="s">
        <v>107</v>
      </c>
      <c r="K226" s="1" t="s">
        <v>37</v>
      </c>
      <c r="M226" s="3">
        <v>9.7000000000000003E-3</v>
      </c>
      <c r="N226" s="3">
        <v>2.9999999999999997E-4</v>
      </c>
      <c r="O226" s="3">
        <v>2.6629999999999998</v>
      </c>
      <c r="P226" s="3">
        <v>0.104</v>
      </c>
      <c r="Q226" s="4">
        <v>0.89</v>
      </c>
      <c r="R226" s="5">
        <v>84</v>
      </c>
      <c r="S226" s="2">
        <v>2.7</v>
      </c>
      <c r="T226" s="2">
        <v>8.8000000000000007</v>
      </c>
      <c r="U226" s="6"/>
      <c r="V226" s="6"/>
      <c r="W226" s="6" t="s">
        <v>91</v>
      </c>
      <c r="X226" s="1" t="s">
        <v>451</v>
      </c>
      <c r="Y226" s="1" t="s">
        <v>141</v>
      </c>
      <c r="Z226" s="1" t="s">
        <v>284</v>
      </c>
      <c r="AA226" s="6" t="s">
        <v>361</v>
      </c>
    </row>
    <row r="227" spans="1:27" x14ac:dyDescent="0.3">
      <c r="A227" s="1" t="s">
        <v>73</v>
      </c>
      <c r="B227" s="1" t="s">
        <v>74</v>
      </c>
      <c r="D227" s="1" t="s">
        <v>88</v>
      </c>
      <c r="F227" s="1" t="s">
        <v>107</v>
      </c>
      <c r="K227" s="1" t="s">
        <v>37</v>
      </c>
      <c r="M227" s="3">
        <v>1.2800000000000001E-2</v>
      </c>
      <c r="N227" s="3">
        <v>1.4E-3</v>
      </c>
      <c r="O227" s="3">
        <v>2.444</v>
      </c>
      <c r="P227" s="3">
        <v>0.26600000000000001</v>
      </c>
      <c r="Q227" s="4">
        <v>0.81</v>
      </c>
      <c r="R227" s="5">
        <v>46</v>
      </c>
      <c r="S227" s="2">
        <v>2.1</v>
      </c>
      <c r="T227" s="2">
        <v>7.7</v>
      </c>
      <c r="U227" s="6"/>
      <c r="V227" s="6"/>
      <c r="W227" s="6" t="s">
        <v>14</v>
      </c>
      <c r="X227" s="1" t="s">
        <v>451</v>
      </c>
      <c r="Y227" s="1" t="s">
        <v>142</v>
      </c>
      <c r="Z227" s="1" t="s">
        <v>284</v>
      </c>
      <c r="AA227" s="6" t="s">
        <v>361</v>
      </c>
    </row>
    <row r="228" spans="1:27" x14ac:dyDescent="0.3">
      <c r="A228" s="1" t="s">
        <v>73</v>
      </c>
      <c r="B228" s="1" t="s">
        <v>74</v>
      </c>
      <c r="D228" s="1" t="s">
        <v>88</v>
      </c>
      <c r="F228" s="1" t="s">
        <v>108</v>
      </c>
      <c r="G228" s="1" t="s">
        <v>109</v>
      </c>
      <c r="K228" s="1" t="s">
        <v>37</v>
      </c>
      <c r="M228" s="3">
        <v>8.0000000000000002E-3</v>
      </c>
      <c r="N228" s="3">
        <v>1.1000000000000001E-3</v>
      </c>
      <c r="O228" s="3">
        <v>2.6629999999999998</v>
      </c>
      <c r="P228" s="3">
        <v>0.21</v>
      </c>
      <c r="Q228" s="4">
        <v>0.94</v>
      </c>
      <c r="R228" s="5">
        <v>74</v>
      </c>
      <c r="S228" s="2">
        <v>1.7</v>
      </c>
      <c r="T228" s="2">
        <v>6.1</v>
      </c>
      <c r="U228" s="6"/>
      <c r="V228" s="6"/>
      <c r="W228" s="6" t="s">
        <v>14</v>
      </c>
      <c r="X228" s="1" t="s">
        <v>451</v>
      </c>
      <c r="Y228" s="1" t="s">
        <v>142</v>
      </c>
      <c r="Z228" s="1" t="s">
        <v>284</v>
      </c>
      <c r="AA228" s="6" t="s">
        <v>361</v>
      </c>
    </row>
    <row r="229" spans="1:27" x14ac:dyDescent="0.3">
      <c r="A229" s="1" t="s">
        <v>73</v>
      </c>
      <c r="B229" s="1" t="s">
        <v>74</v>
      </c>
      <c r="D229" s="1" t="s">
        <v>88</v>
      </c>
      <c r="F229" s="1" t="s">
        <v>108</v>
      </c>
      <c r="G229" s="1" t="s">
        <v>110</v>
      </c>
      <c r="K229" s="1" t="s">
        <v>37</v>
      </c>
      <c r="M229" s="3">
        <v>5.1000000000000004E-3</v>
      </c>
      <c r="N229" s="3"/>
      <c r="O229" s="3">
        <v>2.4420000000000002</v>
      </c>
      <c r="P229" s="3"/>
      <c r="Q229" s="4">
        <v>0.76</v>
      </c>
      <c r="R229" s="5"/>
      <c r="S229" s="2"/>
      <c r="T229" s="2"/>
      <c r="U229" s="6"/>
      <c r="V229" s="6"/>
      <c r="W229" s="6" t="s">
        <v>94</v>
      </c>
      <c r="X229" s="1" t="s">
        <v>451</v>
      </c>
      <c r="Y229" s="1" t="s">
        <v>103</v>
      </c>
      <c r="Z229" s="1" t="s">
        <v>284</v>
      </c>
      <c r="AA229" s="6" t="s">
        <v>361</v>
      </c>
    </row>
    <row r="230" spans="1:27" x14ac:dyDescent="0.3">
      <c r="A230" s="1" t="s">
        <v>73</v>
      </c>
      <c r="B230" s="1" t="s">
        <v>74</v>
      </c>
      <c r="D230" s="1" t="s">
        <v>88</v>
      </c>
      <c r="F230" s="1" t="s">
        <v>111</v>
      </c>
      <c r="K230" s="1" t="s">
        <v>36</v>
      </c>
      <c r="M230" s="3">
        <v>8.8000000000000005E-3</v>
      </c>
      <c r="N230" s="3">
        <v>1.5E-3</v>
      </c>
      <c r="O230" s="3">
        <v>2.5840000000000001</v>
      </c>
      <c r="P230" s="3">
        <v>0.47899999999999998</v>
      </c>
      <c r="Q230" s="4">
        <v>0.99</v>
      </c>
      <c r="R230" s="5">
        <v>24</v>
      </c>
      <c r="S230" s="2">
        <v>2.2999999999999998</v>
      </c>
      <c r="T230" s="2">
        <v>8</v>
      </c>
      <c r="U230" s="6"/>
      <c r="V230" s="6"/>
      <c r="W230" s="6" t="s">
        <v>14</v>
      </c>
      <c r="X230" s="1" t="s">
        <v>451</v>
      </c>
      <c r="Y230" s="1" t="s">
        <v>142</v>
      </c>
      <c r="Z230" s="1" t="s">
        <v>284</v>
      </c>
      <c r="AA230" s="6" t="s">
        <v>361</v>
      </c>
    </row>
    <row r="231" spans="1:27" x14ac:dyDescent="0.3">
      <c r="A231" s="1" t="s">
        <v>73</v>
      </c>
      <c r="B231" s="1" t="s">
        <v>74</v>
      </c>
      <c r="D231" s="1" t="s">
        <v>88</v>
      </c>
      <c r="F231" s="1" t="s">
        <v>111</v>
      </c>
      <c r="K231" s="1" t="s">
        <v>36</v>
      </c>
      <c r="M231" s="3">
        <v>1.03E-2</v>
      </c>
      <c r="N231" s="3">
        <v>1E-3</v>
      </c>
      <c r="O231" s="3">
        <v>2.903</v>
      </c>
      <c r="P231" s="3">
        <v>7.1999999999999995E-2</v>
      </c>
      <c r="Q231" s="4">
        <v>0.99</v>
      </c>
      <c r="R231" s="5">
        <v>10</v>
      </c>
      <c r="S231" s="2">
        <v>0.6</v>
      </c>
      <c r="T231" s="2">
        <v>7.1</v>
      </c>
      <c r="U231" s="6">
        <v>4.2</v>
      </c>
      <c r="V231" s="6">
        <v>0.5</v>
      </c>
      <c r="W231" s="6" t="s">
        <v>9</v>
      </c>
      <c r="X231" s="1" t="s">
        <v>451</v>
      </c>
      <c r="Y231" s="1" t="s">
        <v>52</v>
      </c>
      <c r="Z231" s="1" t="s">
        <v>284</v>
      </c>
      <c r="AA231" s="6" t="s">
        <v>361</v>
      </c>
    </row>
    <row r="232" spans="1:27" x14ac:dyDescent="0.3">
      <c r="A232" s="1" t="s">
        <v>73</v>
      </c>
      <c r="B232" s="1" t="s">
        <v>74</v>
      </c>
      <c r="D232" s="1" t="s">
        <v>112</v>
      </c>
      <c r="F232" s="1" t="s">
        <v>113</v>
      </c>
      <c r="K232" s="1" t="s">
        <v>36</v>
      </c>
      <c r="M232" s="3">
        <v>2.0999999999999999E-3</v>
      </c>
      <c r="N232" s="3">
        <v>2.9999999999999997E-4</v>
      </c>
      <c r="O232" s="3">
        <v>2.7370000000000001</v>
      </c>
      <c r="P232" s="3">
        <v>7.9000000000000001E-2</v>
      </c>
      <c r="Q232" s="4">
        <v>0.94</v>
      </c>
      <c r="R232" s="5">
        <v>14</v>
      </c>
      <c r="S232" s="2">
        <v>0.9</v>
      </c>
      <c r="T232" s="2">
        <v>22.4</v>
      </c>
      <c r="U232" s="6">
        <v>18.8</v>
      </c>
      <c r="V232" s="6">
        <v>3.2</v>
      </c>
      <c r="W232" s="6" t="s">
        <v>96</v>
      </c>
      <c r="X232" s="1" t="s">
        <v>451</v>
      </c>
      <c r="Y232" s="1" t="s">
        <v>143</v>
      </c>
      <c r="Z232" s="1" t="s">
        <v>284</v>
      </c>
      <c r="AA232" s="6" t="s">
        <v>361</v>
      </c>
    </row>
    <row r="233" spans="1:27" x14ac:dyDescent="0.3">
      <c r="A233" s="1" t="s">
        <v>73</v>
      </c>
      <c r="B233" s="1" t="s">
        <v>74</v>
      </c>
      <c r="D233" s="1" t="s">
        <v>112</v>
      </c>
      <c r="F233" s="1" t="s">
        <v>114</v>
      </c>
      <c r="G233" s="1" t="s">
        <v>115</v>
      </c>
      <c r="K233" s="1" t="s">
        <v>37</v>
      </c>
      <c r="M233" s="3">
        <v>2.5000000000000001E-3</v>
      </c>
      <c r="N233" s="3"/>
      <c r="O233" s="3">
        <v>2.718</v>
      </c>
      <c r="P233" s="3"/>
      <c r="Q233" s="4">
        <v>0.98</v>
      </c>
      <c r="R233" s="5"/>
      <c r="S233" s="2"/>
      <c r="T233" s="2"/>
      <c r="U233" s="6"/>
      <c r="V233" s="6"/>
      <c r="W233" s="6" t="s">
        <v>138</v>
      </c>
      <c r="X233" s="1" t="s">
        <v>451</v>
      </c>
      <c r="Y233" s="1" t="s">
        <v>144</v>
      </c>
      <c r="Z233" s="1" t="s">
        <v>284</v>
      </c>
      <c r="AA233" s="6" t="s">
        <v>361</v>
      </c>
    </row>
    <row r="234" spans="1:27" x14ac:dyDescent="0.3">
      <c r="A234" s="1" t="s">
        <v>73</v>
      </c>
      <c r="B234" s="1" t="s">
        <v>74</v>
      </c>
      <c r="D234" s="1" t="s">
        <v>112</v>
      </c>
      <c r="F234" s="1" t="s">
        <v>114</v>
      </c>
      <c r="G234" s="1" t="s">
        <v>115</v>
      </c>
      <c r="K234" s="1" t="s">
        <v>37</v>
      </c>
      <c r="M234" s="3">
        <v>2.3999999999999998E-3</v>
      </c>
      <c r="N234" s="3"/>
      <c r="O234" s="3">
        <v>1.71</v>
      </c>
      <c r="P234" s="3"/>
      <c r="Q234" s="4">
        <v>0.79</v>
      </c>
      <c r="R234" s="5">
        <v>32</v>
      </c>
      <c r="S234" s="2"/>
      <c r="T234" s="2"/>
      <c r="U234" s="6"/>
      <c r="V234" s="6"/>
      <c r="W234" s="6" t="s">
        <v>139</v>
      </c>
      <c r="X234" s="1" t="s">
        <v>451</v>
      </c>
      <c r="Y234" s="1" t="s">
        <v>145</v>
      </c>
      <c r="Z234" s="1" t="s">
        <v>284</v>
      </c>
      <c r="AA234" s="6" t="s">
        <v>361</v>
      </c>
    </row>
    <row r="235" spans="1:27" x14ac:dyDescent="0.3">
      <c r="A235" s="1" t="s">
        <v>73</v>
      </c>
      <c r="B235" s="1" t="s">
        <v>74</v>
      </c>
      <c r="D235" s="1" t="s">
        <v>112</v>
      </c>
      <c r="F235" s="1" t="s">
        <v>114</v>
      </c>
      <c r="G235" s="1" t="s">
        <v>136</v>
      </c>
      <c r="K235" s="1" t="s">
        <v>37</v>
      </c>
      <c r="M235" s="3">
        <v>6.1999999999999998E-3</v>
      </c>
      <c r="N235" s="3">
        <v>2.9999999999999997E-4</v>
      </c>
      <c r="O235" s="3">
        <v>2.891</v>
      </c>
      <c r="P235" s="3">
        <v>0.113</v>
      </c>
      <c r="Q235" s="4">
        <v>0.98</v>
      </c>
      <c r="R235" s="5">
        <v>21</v>
      </c>
      <c r="S235" s="2">
        <v>3.3</v>
      </c>
      <c r="T235" s="2">
        <v>24.6</v>
      </c>
      <c r="U235" s="6"/>
      <c r="V235" s="6"/>
      <c r="W235" s="6" t="s">
        <v>9</v>
      </c>
      <c r="X235" s="1" t="s">
        <v>451</v>
      </c>
      <c r="Y235" s="1" t="s">
        <v>146</v>
      </c>
      <c r="Z235" s="1" t="s">
        <v>284</v>
      </c>
      <c r="AA235" s="6" t="s">
        <v>361</v>
      </c>
    </row>
    <row r="236" spans="1:27" x14ac:dyDescent="0.3">
      <c r="A236" s="1" t="s">
        <v>73</v>
      </c>
      <c r="B236" s="1" t="s">
        <v>74</v>
      </c>
      <c r="D236" s="1" t="s">
        <v>116</v>
      </c>
      <c r="K236" s="1" t="s">
        <v>37</v>
      </c>
      <c r="M236" s="3">
        <v>2.4899999999999999E-2</v>
      </c>
      <c r="N236" s="3"/>
      <c r="O236" s="3">
        <v>2.73</v>
      </c>
      <c r="P236" s="3"/>
      <c r="Q236" s="4">
        <v>0.98</v>
      </c>
      <c r="R236" s="5">
        <v>85</v>
      </c>
      <c r="S236" s="2"/>
      <c r="T236" s="2"/>
      <c r="U236" s="6"/>
      <c r="V236" s="6"/>
      <c r="W236" s="6" t="s">
        <v>93</v>
      </c>
      <c r="X236" s="1" t="s">
        <v>451</v>
      </c>
      <c r="Y236" s="1" t="s">
        <v>147</v>
      </c>
      <c r="Z236" s="1" t="s">
        <v>284</v>
      </c>
      <c r="AA236" s="6" t="s">
        <v>361</v>
      </c>
    </row>
    <row r="237" spans="1:27" x14ac:dyDescent="0.3">
      <c r="A237" s="1" t="s">
        <v>73</v>
      </c>
      <c r="B237" s="1" t="s">
        <v>74</v>
      </c>
      <c r="D237" s="1" t="s">
        <v>116</v>
      </c>
      <c r="F237" s="1" t="s">
        <v>117</v>
      </c>
      <c r="G237" s="1" t="s">
        <v>118</v>
      </c>
      <c r="K237" s="1" t="s">
        <v>36</v>
      </c>
      <c r="M237" s="3">
        <v>1.21E-2</v>
      </c>
      <c r="N237" s="3">
        <v>2.0999999999999999E-3</v>
      </c>
      <c r="O237" s="3">
        <v>2.6669999999999998</v>
      </c>
      <c r="P237" s="3">
        <v>0.125</v>
      </c>
      <c r="Q237" s="4">
        <v>0.99</v>
      </c>
      <c r="R237" s="5">
        <v>10</v>
      </c>
      <c r="S237" s="2">
        <v>0.5</v>
      </c>
      <c r="T237" s="2">
        <v>9.1</v>
      </c>
      <c r="U237" s="6">
        <v>4.7</v>
      </c>
      <c r="V237" s="6">
        <v>0.5</v>
      </c>
      <c r="W237" s="6" t="s">
        <v>9</v>
      </c>
      <c r="X237" s="1" t="s">
        <v>451</v>
      </c>
      <c r="Y237" s="1" t="s">
        <v>52</v>
      </c>
      <c r="Z237" s="1" t="s">
        <v>284</v>
      </c>
      <c r="AA237" s="6" t="s">
        <v>361</v>
      </c>
    </row>
    <row r="238" spans="1:27" x14ac:dyDescent="0.3">
      <c r="A238" s="1" t="s">
        <v>73</v>
      </c>
      <c r="B238" s="1" t="s">
        <v>74</v>
      </c>
      <c r="D238" s="1" t="s">
        <v>116</v>
      </c>
      <c r="F238" s="1" t="s">
        <v>117</v>
      </c>
      <c r="G238" s="1" t="s">
        <v>119</v>
      </c>
      <c r="K238" s="1" t="s">
        <v>36</v>
      </c>
      <c r="M238" s="3">
        <v>1.1900000000000001E-2</v>
      </c>
      <c r="N238" s="3">
        <v>1E-3</v>
      </c>
      <c r="O238" s="3">
        <v>2.8239999999999998</v>
      </c>
      <c r="P238" s="3">
        <v>5.8000000000000003E-2</v>
      </c>
      <c r="Q238" s="4">
        <v>0.55000000000000004</v>
      </c>
      <c r="R238" s="5">
        <v>14</v>
      </c>
      <c r="S238" s="2">
        <v>0.5</v>
      </c>
      <c r="T238" s="2">
        <v>9</v>
      </c>
      <c r="U238" s="6">
        <v>6</v>
      </c>
      <c r="V238" s="6">
        <v>0.5</v>
      </c>
      <c r="W238" s="6" t="s">
        <v>9</v>
      </c>
      <c r="X238" s="1" t="s">
        <v>451</v>
      </c>
      <c r="Y238" s="1" t="s">
        <v>52</v>
      </c>
      <c r="Z238" s="1" t="s">
        <v>284</v>
      </c>
      <c r="AA238" s="6" t="s">
        <v>361</v>
      </c>
    </row>
    <row r="239" spans="1:27" x14ac:dyDescent="0.3">
      <c r="A239" s="1" t="s">
        <v>73</v>
      </c>
      <c r="B239" s="1" t="s">
        <v>74</v>
      </c>
      <c r="D239" s="1" t="s">
        <v>116</v>
      </c>
      <c r="F239" s="1" t="s">
        <v>117</v>
      </c>
      <c r="K239" s="1" t="s">
        <v>37</v>
      </c>
      <c r="M239" s="3">
        <v>5.5999999999999999E-3</v>
      </c>
      <c r="N239" s="3">
        <v>2E-3</v>
      </c>
      <c r="O239" s="3">
        <v>2.9260000000000002</v>
      </c>
      <c r="P239" s="3">
        <v>0.35499999999999998</v>
      </c>
      <c r="Q239" s="4">
        <v>0.72</v>
      </c>
      <c r="R239" s="5">
        <v>18</v>
      </c>
      <c r="S239" s="2">
        <v>1.3</v>
      </c>
      <c r="T239" s="2">
        <v>11.6</v>
      </c>
      <c r="U239" s="6"/>
      <c r="V239" s="6"/>
      <c r="W239" s="6" t="s">
        <v>14</v>
      </c>
      <c r="X239" s="1" t="s">
        <v>451</v>
      </c>
      <c r="Y239" s="1" t="s">
        <v>142</v>
      </c>
      <c r="Z239" s="1" t="s">
        <v>284</v>
      </c>
      <c r="AA239" s="6" t="s">
        <v>361</v>
      </c>
    </row>
    <row r="240" spans="1:27" x14ac:dyDescent="0.3">
      <c r="A240" s="1" t="s">
        <v>73</v>
      </c>
      <c r="B240" s="1" t="s">
        <v>74</v>
      </c>
      <c r="D240" s="1" t="s">
        <v>116</v>
      </c>
      <c r="F240" s="1" t="s">
        <v>120</v>
      </c>
      <c r="K240" s="1" t="s">
        <v>37</v>
      </c>
      <c r="M240" s="3">
        <v>0.18</v>
      </c>
      <c r="N240" s="3">
        <v>1E-3</v>
      </c>
      <c r="O240" s="3">
        <v>2.3260000000000001</v>
      </c>
      <c r="P240" s="3">
        <v>0.04</v>
      </c>
      <c r="Q240" s="4">
        <v>0.95</v>
      </c>
      <c r="R240" s="5">
        <v>90</v>
      </c>
      <c r="S240" s="2">
        <v>1.3</v>
      </c>
      <c r="T240" s="2">
        <v>9.6999999999999993</v>
      </c>
      <c r="U240" s="6"/>
      <c r="V240" s="6"/>
      <c r="W240" s="6" t="s">
        <v>9</v>
      </c>
      <c r="X240" s="1" t="s">
        <v>451</v>
      </c>
      <c r="Y240" s="1" t="s">
        <v>146</v>
      </c>
      <c r="Z240" s="1" t="s">
        <v>284</v>
      </c>
      <c r="AA240" s="6" t="s">
        <v>361</v>
      </c>
    </row>
    <row r="241" spans="1:27" x14ac:dyDescent="0.3">
      <c r="A241" s="1" t="s">
        <v>73</v>
      </c>
      <c r="B241" s="1" t="s">
        <v>74</v>
      </c>
      <c r="D241" s="1" t="s">
        <v>116</v>
      </c>
      <c r="F241" s="1" t="s">
        <v>120</v>
      </c>
      <c r="K241" s="1" t="s">
        <v>37</v>
      </c>
      <c r="M241" s="3">
        <v>8.6999999999999994E-3</v>
      </c>
      <c r="N241" s="3">
        <v>5.0000000000000001E-4</v>
      </c>
      <c r="O241" s="3">
        <v>2.7309999999999999</v>
      </c>
      <c r="P241" s="3">
        <v>0.19800000000000001</v>
      </c>
      <c r="Q241" s="4">
        <v>1</v>
      </c>
      <c r="R241" s="5">
        <v>11</v>
      </c>
      <c r="S241" s="2">
        <v>2.8</v>
      </c>
      <c r="T241" s="2">
        <v>9.8000000000000007</v>
      </c>
      <c r="U241" s="6"/>
      <c r="V241" s="6"/>
      <c r="W241" s="6" t="s">
        <v>91</v>
      </c>
      <c r="X241" s="1" t="s">
        <v>451</v>
      </c>
      <c r="Y241" s="1" t="s">
        <v>141</v>
      </c>
      <c r="Z241" s="1" t="s">
        <v>284</v>
      </c>
      <c r="AA241" s="6" t="s">
        <v>361</v>
      </c>
    </row>
    <row r="242" spans="1:27" x14ac:dyDescent="0.3">
      <c r="A242" s="1" t="s">
        <v>73</v>
      </c>
      <c r="B242" s="1" t="s">
        <v>74</v>
      </c>
      <c r="D242" s="1" t="s">
        <v>116</v>
      </c>
      <c r="F242" s="1" t="s">
        <v>121</v>
      </c>
      <c r="K242" s="1" t="s">
        <v>36</v>
      </c>
      <c r="M242" s="3">
        <v>1.0999999999999999E-2</v>
      </c>
      <c r="N242" s="3">
        <v>6.9999999999999999E-4</v>
      </c>
      <c r="O242" s="3">
        <v>2.7610000000000001</v>
      </c>
      <c r="P242" s="3">
        <v>5.0999999999999997E-2</v>
      </c>
      <c r="Q242" s="4">
        <v>0.99</v>
      </c>
      <c r="R242" s="5">
        <v>9</v>
      </c>
      <c r="S242" s="2">
        <v>1.5</v>
      </c>
      <c r="T242" s="2">
        <v>6.5</v>
      </c>
      <c r="U242" s="6">
        <v>9.6999999999999993</v>
      </c>
      <c r="V242" s="6">
        <v>1.4</v>
      </c>
      <c r="W242" s="6" t="s">
        <v>9</v>
      </c>
      <c r="X242" s="1" t="s">
        <v>451</v>
      </c>
      <c r="Y242" s="1" t="s">
        <v>52</v>
      </c>
      <c r="Z242" s="1" t="s">
        <v>284</v>
      </c>
      <c r="AA242" s="6" t="s">
        <v>361</v>
      </c>
    </row>
    <row r="243" spans="1:27" x14ac:dyDescent="0.3">
      <c r="A243" s="1" t="s">
        <v>73</v>
      </c>
      <c r="B243" s="1" t="s">
        <v>74</v>
      </c>
      <c r="D243" s="1" t="s">
        <v>116</v>
      </c>
      <c r="F243" s="1" t="s">
        <v>122</v>
      </c>
      <c r="K243" s="1" t="s">
        <v>36</v>
      </c>
      <c r="M243" s="3">
        <v>8.0000000000000002E-3</v>
      </c>
      <c r="N243" s="3">
        <v>8.0000000000000004E-4</v>
      </c>
      <c r="O243" s="3">
        <v>2.919</v>
      </c>
      <c r="P243" s="3">
        <v>7.9000000000000001E-2</v>
      </c>
      <c r="Q243" s="4">
        <v>0.99</v>
      </c>
      <c r="R243" s="5">
        <v>9</v>
      </c>
      <c r="S243" s="2">
        <v>1.1000000000000001</v>
      </c>
      <c r="T243" s="2">
        <v>5.9</v>
      </c>
      <c r="U243" s="6">
        <v>6.4</v>
      </c>
      <c r="V243" s="6">
        <v>0.7</v>
      </c>
      <c r="W243" s="6" t="s">
        <v>9</v>
      </c>
      <c r="X243" s="1" t="s">
        <v>451</v>
      </c>
      <c r="Y243" s="1" t="s">
        <v>52</v>
      </c>
      <c r="Z243" s="1" t="s">
        <v>284</v>
      </c>
      <c r="AA243" s="6" t="s">
        <v>361</v>
      </c>
    </row>
    <row r="244" spans="1:27" x14ac:dyDescent="0.3">
      <c r="A244" s="1" t="s">
        <v>73</v>
      </c>
      <c r="B244" s="1" t="s">
        <v>74</v>
      </c>
      <c r="D244" s="1" t="s">
        <v>116</v>
      </c>
      <c r="F244" s="1" t="s">
        <v>123</v>
      </c>
      <c r="G244" s="1" t="s">
        <v>127</v>
      </c>
      <c r="K244" s="1" t="s">
        <v>36</v>
      </c>
      <c r="M244" s="3">
        <v>5.7000000000000002E-3</v>
      </c>
      <c r="N244" s="3">
        <v>8.9999999999999998E-4</v>
      </c>
      <c r="O244" s="3">
        <v>2.782</v>
      </c>
      <c r="P244" s="3">
        <v>0.10199999999999999</v>
      </c>
      <c r="Q244" s="4">
        <v>0.88</v>
      </c>
      <c r="R244" s="5">
        <v>10</v>
      </c>
      <c r="S244" s="2">
        <v>0.7</v>
      </c>
      <c r="T244" s="2">
        <v>10.5</v>
      </c>
      <c r="U244" s="6">
        <v>6.9</v>
      </c>
      <c r="V244" s="6">
        <v>0.8</v>
      </c>
      <c r="W244" s="6" t="s">
        <v>9</v>
      </c>
      <c r="X244" s="1" t="s">
        <v>451</v>
      </c>
      <c r="Y244" s="1" t="s">
        <v>52</v>
      </c>
      <c r="Z244" s="1" t="s">
        <v>284</v>
      </c>
      <c r="AA244" s="6" t="s">
        <v>361</v>
      </c>
    </row>
    <row r="245" spans="1:27" x14ac:dyDescent="0.3">
      <c r="A245" s="1" t="s">
        <v>73</v>
      </c>
      <c r="B245" s="1" t="s">
        <v>74</v>
      </c>
      <c r="D245" s="1" t="s">
        <v>116</v>
      </c>
      <c r="F245" s="1" t="s">
        <v>123</v>
      </c>
      <c r="G245" s="1" t="s">
        <v>126</v>
      </c>
      <c r="K245" s="1" t="s">
        <v>37</v>
      </c>
      <c r="M245" s="3">
        <v>6.7000000000000002E-3</v>
      </c>
      <c r="N245" s="3">
        <v>8.0000000000000004E-4</v>
      </c>
      <c r="O245" s="3">
        <v>2.8069999999999999</v>
      </c>
      <c r="P245" s="3">
        <v>8.6999999999999994E-2</v>
      </c>
      <c r="Q245" s="4">
        <v>1</v>
      </c>
      <c r="R245" s="5">
        <v>45</v>
      </c>
      <c r="S245" s="2">
        <v>1</v>
      </c>
      <c r="T245" s="2">
        <v>10.9</v>
      </c>
      <c r="U245" s="6"/>
      <c r="V245" s="6"/>
      <c r="W245" s="6" t="s">
        <v>9</v>
      </c>
      <c r="X245" s="1" t="s">
        <v>451</v>
      </c>
      <c r="Y245" s="1" t="s">
        <v>104</v>
      </c>
      <c r="Z245" s="1" t="s">
        <v>284</v>
      </c>
      <c r="AA245" s="6" t="s">
        <v>361</v>
      </c>
    </row>
    <row r="246" spans="1:27" x14ac:dyDescent="0.3">
      <c r="A246" s="1" t="s">
        <v>73</v>
      </c>
      <c r="B246" s="1" t="s">
        <v>74</v>
      </c>
      <c r="D246" s="1" t="s">
        <v>116</v>
      </c>
      <c r="F246" s="1" t="s">
        <v>123</v>
      </c>
      <c r="G246" s="1" t="s">
        <v>128</v>
      </c>
      <c r="K246" s="1" t="s">
        <v>36</v>
      </c>
      <c r="M246" s="3">
        <v>1.01E-2</v>
      </c>
      <c r="N246" s="3">
        <v>4.0000000000000002E-4</v>
      </c>
      <c r="O246" s="3">
        <v>2.891</v>
      </c>
      <c r="P246" s="3">
        <v>2.1000000000000001E-2</v>
      </c>
      <c r="Q246" s="4">
        <v>0.88</v>
      </c>
      <c r="R246" s="5">
        <v>10</v>
      </c>
      <c r="S246" s="2">
        <v>0.7</v>
      </c>
      <c r="T246" s="2">
        <v>12.3</v>
      </c>
      <c r="U246" s="6">
        <v>5.3</v>
      </c>
      <c r="V246" s="6">
        <v>0.7</v>
      </c>
      <c r="W246" s="6" t="s">
        <v>9</v>
      </c>
      <c r="X246" s="1" t="s">
        <v>451</v>
      </c>
      <c r="Y246" s="1" t="s">
        <v>52</v>
      </c>
      <c r="Z246" s="1" t="s">
        <v>284</v>
      </c>
      <c r="AA246" s="6" t="s">
        <v>361</v>
      </c>
    </row>
    <row r="247" spans="1:27" x14ac:dyDescent="0.3">
      <c r="A247" s="1" t="s">
        <v>73</v>
      </c>
      <c r="B247" s="1" t="s">
        <v>74</v>
      </c>
      <c r="D247" s="1" t="s">
        <v>116</v>
      </c>
      <c r="F247" s="1" t="s">
        <v>124</v>
      </c>
      <c r="G247" s="1" t="s">
        <v>125</v>
      </c>
      <c r="K247" s="1" t="s">
        <v>37</v>
      </c>
      <c r="M247" s="3">
        <v>7.7999999999999996E-3</v>
      </c>
      <c r="N247" s="3">
        <v>2.0000000000000001E-4</v>
      </c>
      <c r="O247" s="3">
        <v>2.871</v>
      </c>
      <c r="P247" s="3">
        <v>2.7E-2</v>
      </c>
      <c r="Q247" s="4">
        <v>0.81</v>
      </c>
      <c r="R247" s="5">
        <v>128</v>
      </c>
      <c r="S247" s="2">
        <v>0.8</v>
      </c>
      <c r="T247" s="2">
        <v>12.1</v>
      </c>
      <c r="U247" s="6"/>
      <c r="V247" s="6"/>
      <c r="W247" s="6" t="s">
        <v>9</v>
      </c>
      <c r="X247" s="1" t="s">
        <v>451</v>
      </c>
      <c r="Y247" s="1" t="s">
        <v>146</v>
      </c>
      <c r="Z247" s="1" t="s">
        <v>284</v>
      </c>
      <c r="AA247" s="6" t="s">
        <v>361</v>
      </c>
    </row>
    <row r="248" spans="1:27" x14ac:dyDescent="0.3">
      <c r="A248" s="1" t="s">
        <v>73</v>
      </c>
      <c r="B248" s="1" t="s">
        <v>74</v>
      </c>
      <c r="D248" s="1" t="s">
        <v>116</v>
      </c>
      <c r="F248" s="1" t="s">
        <v>124</v>
      </c>
      <c r="G248" s="1" t="s">
        <v>125</v>
      </c>
      <c r="K248" s="1" t="s">
        <v>37</v>
      </c>
      <c r="M248" s="3">
        <v>0.10100000000000001</v>
      </c>
      <c r="N248" s="3">
        <v>1.6000000000000001E-3</v>
      </c>
      <c r="O248" s="3">
        <v>2.6360000000000001</v>
      </c>
      <c r="P248" s="3">
        <v>0.186</v>
      </c>
      <c r="Q248" s="4">
        <v>0.84</v>
      </c>
      <c r="R248" s="5">
        <v>52</v>
      </c>
      <c r="S248" s="2">
        <v>1</v>
      </c>
      <c r="T248" s="2">
        <v>10.7</v>
      </c>
      <c r="U248" s="6"/>
      <c r="V248" s="6"/>
      <c r="W248" s="6" t="s">
        <v>14</v>
      </c>
      <c r="X248" s="1" t="s">
        <v>451</v>
      </c>
      <c r="Y248" s="1" t="s">
        <v>142</v>
      </c>
      <c r="Z248" s="1" t="s">
        <v>284</v>
      </c>
      <c r="AA248" s="6" t="s">
        <v>361</v>
      </c>
    </row>
    <row r="249" spans="1:27" x14ac:dyDescent="0.3">
      <c r="A249" s="1" t="s">
        <v>73</v>
      </c>
      <c r="B249" s="1" t="s">
        <v>74</v>
      </c>
      <c r="D249" s="1" t="s">
        <v>116</v>
      </c>
      <c r="F249" s="1" t="s">
        <v>124</v>
      </c>
      <c r="G249" s="1" t="s">
        <v>125</v>
      </c>
      <c r="K249" s="1" t="s">
        <v>37</v>
      </c>
      <c r="M249" s="3">
        <v>4.7000000000000002E-3</v>
      </c>
      <c r="N249" s="3"/>
      <c r="O249" s="3">
        <v>2.819</v>
      </c>
      <c r="P249" s="3"/>
      <c r="R249" s="5"/>
      <c r="S249" s="2"/>
      <c r="T249" s="2"/>
      <c r="U249" s="6"/>
      <c r="V249" s="6"/>
      <c r="W249" s="6" t="s">
        <v>94</v>
      </c>
      <c r="X249" s="1" t="s">
        <v>451</v>
      </c>
      <c r="Y249" s="1" t="s">
        <v>103</v>
      </c>
      <c r="Z249" s="1" t="s">
        <v>284</v>
      </c>
      <c r="AA249" s="6" t="s">
        <v>361</v>
      </c>
    </row>
    <row r="250" spans="1:27" x14ac:dyDescent="0.3">
      <c r="A250" s="1" t="s">
        <v>73</v>
      </c>
      <c r="B250" s="1" t="s">
        <v>74</v>
      </c>
      <c r="D250" s="1" t="s">
        <v>116</v>
      </c>
      <c r="F250" s="1" t="s">
        <v>124</v>
      </c>
      <c r="K250" s="1" t="s">
        <v>37</v>
      </c>
      <c r="M250" s="3">
        <v>0.128</v>
      </c>
      <c r="N250" s="3">
        <v>8.0000000000000004E-4</v>
      </c>
      <c r="O250" s="3">
        <v>2.6160000000000001</v>
      </c>
      <c r="P250" s="3">
        <v>0.151</v>
      </c>
      <c r="Q250" s="4">
        <v>0.84</v>
      </c>
      <c r="R250" s="5">
        <v>59</v>
      </c>
      <c r="S250" s="2">
        <v>2</v>
      </c>
      <c r="T250" s="2">
        <v>12.7</v>
      </c>
      <c r="U250" s="6"/>
      <c r="V250" s="6"/>
      <c r="W250" s="6" t="s">
        <v>91</v>
      </c>
      <c r="X250" s="1" t="s">
        <v>451</v>
      </c>
      <c r="Y250" s="1" t="s">
        <v>98</v>
      </c>
      <c r="Z250" s="1" t="s">
        <v>284</v>
      </c>
      <c r="AA250" s="6" t="s">
        <v>361</v>
      </c>
    </row>
    <row r="251" spans="1:27" x14ac:dyDescent="0.3">
      <c r="A251" s="1" t="s">
        <v>73</v>
      </c>
      <c r="B251" s="1" t="s">
        <v>74</v>
      </c>
      <c r="D251" s="1" t="s">
        <v>129</v>
      </c>
      <c r="F251" s="1" t="s">
        <v>130</v>
      </c>
      <c r="K251" s="1" t="s">
        <v>37</v>
      </c>
      <c r="M251" s="3">
        <v>3.0999999999999999E-3</v>
      </c>
      <c r="N251" s="3">
        <v>6.9999999999999999E-4</v>
      </c>
      <c r="O251" s="3">
        <v>3.1669999999999998</v>
      </c>
      <c r="P251" s="3">
        <v>2.3E-2</v>
      </c>
      <c r="Q251" s="4">
        <v>0.88</v>
      </c>
      <c r="R251" s="5">
        <v>107</v>
      </c>
      <c r="S251" s="2">
        <v>2.2000000000000002</v>
      </c>
      <c r="T251" s="2">
        <v>13.2</v>
      </c>
      <c r="U251" s="6"/>
      <c r="V251" s="6"/>
      <c r="W251" s="6" t="s">
        <v>9</v>
      </c>
      <c r="X251" s="1" t="s">
        <v>451</v>
      </c>
      <c r="Y251" s="1" t="s">
        <v>146</v>
      </c>
      <c r="Z251" s="1" t="s">
        <v>284</v>
      </c>
      <c r="AA251" s="6" t="s">
        <v>361</v>
      </c>
    </row>
    <row r="252" spans="1:27" x14ac:dyDescent="0.3">
      <c r="A252" s="1" t="s">
        <v>73</v>
      </c>
      <c r="B252" s="1" t="s">
        <v>74</v>
      </c>
      <c r="D252" s="1" t="s">
        <v>129</v>
      </c>
      <c r="F252" s="1" t="s">
        <v>130</v>
      </c>
      <c r="K252" s="1" t="s">
        <v>37</v>
      </c>
      <c r="M252" s="3">
        <v>3.0999999999999999E-3</v>
      </c>
      <c r="N252" s="3"/>
      <c r="O252" s="3">
        <v>2.9180000000000001</v>
      </c>
      <c r="P252" s="3"/>
      <c r="Q252" s="4">
        <v>0.97</v>
      </c>
      <c r="R252" s="5">
        <v>123</v>
      </c>
      <c r="S252" s="2">
        <v>2.6</v>
      </c>
      <c r="T252" s="2">
        <v>12.9</v>
      </c>
      <c r="U252" s="6"/>
      <c r="V252" s="6"/>
      <c r="W252" s="6" t="s">
        <v>91</v>
      </c>
      <c r="X252" s="1" t="s">
        <v>451</v>
      </c>
      <c r="Y252" s="1" t="s">
        <v>148</v>
      </c>
      <c r="Z252" s="1" t="s">
        <v>284</v>
      </c>
      <c r="AA252" s="6" t="s">
        <v>361</v>
      </c>
    </row>
    <row r="253" spans="1:27" x14ac:dyDescent="0.3">
      <c r="A253" s="1" t="s">
        <v>73</v>
      </c>
      <c r="B253" s="1" t="s">
        <v>74</v>
      </c>
      <c r="D253" s="1" t="s">
        <v>131</v>
      </c>
      <c r="F253" s="1" t="s">
        <v>132</v>
      </c>
      <c r="G253" s="1" t="s">
        <v>133</v>
      </c>
      <c r="K253" s="1" t="s">
        <v>36</v>
      </c>
      <c r="M253" s="3">
        <v>4.7000000000000002E-3</v>
      </c>
      <c r="N253" s="3">
        <v>5.9999999999999995E-4</v>
      </c>
      <c r="O253" s="3">
        <v>2.5659999999999998</v>
      </c>
      <c r="P253" s="3">
        <v>0.113</v>
      </c>
      <c r="Q253" s="4">
        <v>0.99</v>
      </c>
      <c r="R253" s="5">
        <v>7</v>
      </c>
      <c r="S253" s="2">
        <v>0.9</v>
      </c>
      <c r="T253" s="2">
        <v>5.7</v>
      </c>
      <c r="U253" s="6">
        <v>6</v>
      </c>
      <c r="V253" s="6">
        <v>0.7</v>
      </c>
      <c r="W253" s="6" t="s">
        <v>9</v>
      </c>
      <c r="X253" s="1" t="s">
        <v>451</v>
      </c>
      <c r="Y253" s="1" t="s">
        <v>52</v>
      </c>
      <c r="Z253" s="1" t="s">
        <v>284</v>
      </c>
      <c r="AA253" s="6" t="s">
        <v>361</v>
      </c>
    </row>
    <row r="254" spans="1:27" x14ac:dyDescent="0.3">
      <c r="A254" s="1" t="s">
        <v>73</v>
      </c>
      <c r="B254" s="1" t="s">
        <v>74</v>
      </c>
      <c r="D254" s="1" t="s">
        <v>131</v>
      </c>
      <c r="F254" s="1" t="s">
        <v>132</v>
      </c>
      <c r="G254" s="1" t="s">
        <v>133</v>
      </c>
      <c r="K254" s="1" t="s">
        <v>37</v>
      </c>
      <c r="M254" s="3">
        <v>2.8E-3</v>
      </c>
      <c r="N254" s="3"/>
      <c r="O254" s="3">
        <v>2.488</v>
      </c>
      <c r="P254" s="3"/>
      <c r="R254" s="5"/>
      <c r="S254" s="2"/>
      <c r="T254" s="2"/>
      <c r="U254" s="6"/>
      <c r="V254" s="6"/>
      <c r="W254" s="6" t="s">
        <v>94</v>
      </c>
      <c r="X254" s="1" t="s">
        <v>451</v>
      </c>
      <c r="Y254" s="1" t="s">
        <v>103</v>
      </c>
      <c r="Z254" s="1" t="s">
        <v>284</v>
      </c>
      <c r="AA254" s="6" t="s">
        <v>361</v>
      </c>
    </row>
    <row r="255" spans="1:27" x14ac:dyDescent="0.3">
      <c r="A255" s="1" t="s">
        <v>73</v>
      </c>
      <c r="B255" s="1" t="s">
        <v>74</v>
      </c>
      <c r="D255" s="1" t="s">
        <v>131</v>
      </c>
      <c r="F255" s="1" t="s">
        <v>134</v>
      </c>
      <c r="K255" s="1" t="s">
        <v>37</v>
      </c>
      <c r="M255" s="3">
        <v>5.4000000000000003E-3</v>
      </c>
      <c r="N255" s="3">
        <v>8.9999999999999998E-4</v>
      </c>
      <c r="O255" s="3">
        <v>2.8359999999999999</v>
      </c>
      <c r="P255" s="3">
        <v>0.222</v>
      </c>
      <c r="Q255" s="4">
        <v>0.78</v>
      </c>
      <c r="R255" s="5">
        <v>25</v>
      </c>
      <c r="S255" s="2">
        <v>1.2</v>
      </c>
      <c r="T255" s="2">
        <v>8.4</v>
      </c>
      <c r="U255" s="6"/>
      <c r="V255" s="6"/>
      <c r="W255" s="6" t="s">
        <v>14</v>
      </c>
      <c r="X255" s="1" t="s">
        <v>451</v>
      </c>
      <c r="Y255" s="1" t="s">
        <v>142</v>
      </c>
      <c r="Z255" s="1" t="s">
        <v>284</v>
      </c>
      <c r="AA255" s="6" t="s">
        <v>361</v>
      </c>
    </row>
    <row r="256" spans="1:27" x14ac:dyDescent="0.3">
      <c r="A256" s="1" t="s">
        <v>73</v>
      </c>
      <c r="B256" s="1" t="s">
        <v>74</v>
      </c>
      <c r="D256" s="1" t="s">
        <v>131</v>
      </c>
      <c r="F256" s="1" t="s">
        <v>135</v>
      </c>
      <c r="K256" s="1" t="s">
        <v>36</v>
      </c>
      <c r="M256" s="3">
        <v>3.8E-3</v>
      </c>
      <c r="N256" s="3">
        <v>5.9999999999999995E-4</v>
      </c>
      <c r="O256" s="3">
        <v>2.9180000000000001</v>
      </c>
      <c r="P256" s="3">
        <v>0.11899999999999999</v>
      </c>
      <c r="Q256" s="4">
        <v>0.99</v>
      </c>
      <c r="R256" s="5">
        <v>8</v>
      </c>
      <c r="S256" s="2">
        <v>0.9</v>
      </c>
      <c r="T256" s="2">
        <v>7.4</v>
      </c>
      <c r="U256" s="6">
        <v>7.5</v>
      </c>
      <c r="V256" s="6">
        <v>0.5</v>
      </c>
      <c r="W256" s="6" t="s">
        <v>9</v>
      </c>
      <c r="X256" s="1" t="s">
        <v>451</v>
      </c>
      <c r="Y256" s="1" t="s">
        <v>52</v>
      </c>
      <c r="Z256" s="1" t="s">
        <v>284</v>
      </c>
      <c r="AA256" s="6" t="s">
        <v>361</v>
      </c>
    </row>
    <row r="257" spans="1:27" x14ac:dyDescent="0.3">
      <c r="A257" s="1" t="s">
        <v>73</v>
      </c>
      <c r="B257" s="1" t="s">
        <v>74</v>
      </c>
      <c r="D257" s="1" t="s">
        <v>131</v>
      </c>
      <c r="F257" s="1" t="s">
        <v>135</v>
      </c>
      <c r="K257" s="1" t="s">
        <v>37</v>
      </c>
      <c r="M257" s="3">
        <v>6.1000000000000004E-3</v>
      </c>
      <c r="N257" s="3">
        <v>5.0000000000000001E-4</v>
      </c>
      <c r="O257" s="3">
        <v>2.6240000000000001</v>
      </c>
      <c r="P257" s="3">
        <v>0.189</v>
      </c>
      <c r="Q257" s="4">
        <v>0.88</v>
      </c>
      <c r="R257" s="5">
        <v>55</v>
      </c>
      <c r="S257" s="2">
        <v>1</v>
      </c>
      <c r="T257" s="2">
        <v>7.8</v>
      </c>
      <c r="U257" s="6"/>
      <c r="V257" s="6"/>
      <c r="W257" s="6" t="s">
        <v>14</v>
      </c>
      <c r="X257" s="1" t="s">
        <v>451</v>
      </c>
      <c r="Y257" s="1" t="s">
        <v>142</v>
      </c>
      <c r="Z257" s="1" t="s">
        <v>284</v>
      </c>
      <c r="AA257" s="6" t="s">
        <v>361</v>
      </c>
    </row>
    <row r="258" spans="1:27" x14ac:dyDescent="0.3">
      <c r="A258" s="1" t="s">
        <v>73</v>
      </c>
      <c r="B258" s="1" t="s">
        <v>74</v>
      </c>
      <c r="D258" s="1" t="s">
        <v>149</v>
      </c>
      <c r="F258" s="1" t="s">
        <v>150</v>
      </c>
      <c r="G258" s="1" t="s">
        <v>151</v>
      </c>
      <c r="K258" s="1" t="s">
        <v>37</v>
      </c>
      <c r="M258" s="3">
        <v>2E-3</v>
      </c>
      <c r="N258" s="3"/>
      <c r="O258" s="3">
        <v>3.05</v>
      </c>
      <c r="P258" s="3"/>
      <c r="Q258" s="4">
        <v>0.89</v>
      </c>
      <c r="R258" s="5"/>
      <c r="S258" s="2">
        <v>5</v>
      </c>
      <c r="T258" s="2">
        <v>14</v>
      </c>
      <c r="U258" s="6"/>
      <c r="V258" s="6"/>
      <c r="W258" s="6" t="s">
        <v>195</v>
      </c>
      <c r="X258" s="1" t="s">
        <v>451</v>
      </c>
      <c r="Y258" s="1" t="s">
        <v>198</v>
      </c>
      <c r="Z258" s="1" t="s">
        <v>284</v>
      </c>
      <c r="AA258" s="6" t="s">
        <v>361</v>
      </c>
    </row>
    <row r="259" spans="1:27" x14ac:dyDescent="0.3">
      <c r="A259" s="1" t="s">
        <v>73</v>
      </c>
      <c r="B259" s="1" t="s">
        <v>74</v>
      </c>
      <c r="D259" s="1" t="s">
        <v>152</v>
      </c>
      <c r="F259" s="1" t="s">
        <v>155</v>
      </c>
      <c r="G259" s="1" t="s">
        <v>153</v>
      </c>
      <c r="K259" s="1" t="s">
        <v>36</v>
      </c>
      <c r="M259" s="3">
        <v>2.0000000000000001E-4</v>
      </c>
      <c r="N259" s="3">
        <v>2.0000000000000001E-4</v>
      </c>
      <c r="O259" s="3">
        <v>3.61</v>
      </c>
      <c r="P259" s="3">
        <v>0.27200000000000002</v>
      </c>
      <c r="Q259" s="4">
        <v>0.9</v>
      </c>
      <c r="R259" s="5">
        <v>20</v>
      </c>
      <c r="S259" s="2">
        <v>6</v>
      </c>
      <c r="T259" s="2">
        <v>21</v>
      </c>
      <c r="U259" s="6">
        <v>8.4</v>
      </c>
      <c r="V259" s="6">
        <v>0.8</v>
      </c>
      <c r="W259" s="6" t="s">
        <v>196</v>
      </c>
      <c r="X259" s="1" t="s">
        <v>451</v>
      </c>
      <c r="Y259" s="1" t="s">
        <v>143</v>
      </c>
      <c r="Z259" s="1" t="s">
        <v>284</v>
      </c>
      <c r="AA259" s="6" t="s">
        <v>361</v>
      </c>
    </row>
    <row r="260" spans="1:27" x14ac:dyDescent="0.3">
      <c r="A260" s="1" t="s">
        <v>73</v>
      </c>
      <c r="B260" s="1" t="s">
        <v>74</v>
      </c>
      <c r="D260" s="1" t="s">
        <v>152</v>
      </c>
      <c r="F260" s="1" t="s">
        <v>154</v>
      </c>
      <c r="K260" s="1" t="s">
        <v>36</v>
      </c>
      <c r="M260" s="3">
        <v>1E-4</v>
      </c>
      <c r="N260" s="3">
        <v>0</v>
      </c>
      <c r="O260" s="3">
        <v>1.1399999999999999</v>
      </c>
      <c r="P260" s="3">
        <v>0.15</v>
      </c>
      <c r="Q260" s="4">
        <v>0.96</v>
      </c>
      <c r="R260" s="5">
        <v>30</v>
      </c>
      <c r="S260" s="2">
        <v>5.4</v>
      </c>
      <c r="T260" s="2">
        <v>18</v>
      </c>
      <c r="U260" s="6">
        <v>4</v>
      </c>
      <c r="V260" s="6">
        <v>0.8</v>
      </c>
      <c r="W260" s="6" t="s">
        <v>196</v>
      </c>
      <c r="X260" s="1" t="s">
        <v>451</v>
      </c>
      <c r="Y260" s="1" t="s">
        <v>143</v>
      </c>
      <c r="Z260" s="1" t="s">
        <v>284</v>
      </c>
      <c r="AA260" s="6" t="s">
        <v>361</v>
      </c>
    </row>
    <row r="261" spans="1:27" x14ac:dyDescent="0.3">
      <c r="A261" s="1" t="s">
        <v>73</v>
      </c>
      <c r="B261" s="1" t="s">
        <v>74</v>
      </c>
      <c r="D261" s="1" t="s">
        <v>156</v>
      </c>
      <c r="F261" s="1" t="s">
        <v>158</v>
      </c>
      <c r="G261" s="1" t="s">
        <v>157</v>
      </c>
      <c r="K261" s="1" t="s">
        <v>37</v>
      </c>
      <c r="M261" s="3">
        <v>9.1999999999999998E-3</v>
      </c>
      <c r="N261" s="3"/>
      <c r="O261" s="3">
        <v>3.222</v>
      </c>
      <c r="P261" s="3"/>
      <c r="R261" s="5">
        <v>200</v>
      </c>
      <c r="S261" s="2"/>
      <c r="T261" s="2"/>
      <c r="U261" s="6"/>
      <c r="V261" s="6"/>
      <c r="W261" s="6" t="s">
        <v>197</v>
      </c>
      <c r="X261" s="1" t="s">
        <v>451</v>
      </c>
      <c r="Y261" s="1" t="s">
        <v>199</v>
      </c>
      <c r="Z261" s="1" t="s">
        <v>284</v>
      </c>
      <c r="AA261" s="6" t="s">
        <v>361</v>
      </c>
    </row>
    <row r="262" spans="1:27" x14ac:dyDescent="0.3">
      <c r="A262" s="1" t="s">
        <v>73</v>
      </c>
      <c r="B262" s="1" t="s">
        <v>74</v>
      </c>
      <c r="D262" s="1" t="s">
        <v>156</v>
      </c>
      <c r="F262" s="1" t="s">
        <v>158</v>
      </c>
      <c r="K262" s="1" t="s">
        <v>37</v>
      </c>
      <c r="M262" s="3">
        <v>2.8999999999999998E-3</v>
      </c>
      <c r="N262" s="3">
        <v>4.0000000000000001E-3</v>
      </c>
      <c r="O262" s="3">
        <v>3.165</v>
      </c>
      <c r="P262" s="3">
        <v>0.253</v>
      </c>
      <c r="Q262" s="4">
        <v>0.77</v>
      </c>
      <c r="R262" s="5">
        <v>19</v>
      </c>
      <c r="S262" s="2">
        <v>1.7</v>
      </c>
      <c r="T262" s="2">
        <v>7.1</v>
      </c>
      <c r="U262" s="6"/>
      <c r="V262" s="6"/>
      <c r="W262" s="6" t="s">
        <v>14</v>
      </c>
      <c r="X262" s="1" t="s">
        <v>451</v>
      </c>
      <c r="Y262" s="1" t="s">
        <v>142</v>
      </c>
      <c r="Z262" s="1" t="s">
        <v>284</v>
      </c>
      <c r="AA262" s="6" t="s">
        <v>361</v>
      </c>
    </row>
    <row r="263" spans="1:27" x14ac:dyDescent="0.3">
      <c r="A263" s="1" t="s">
        <v>73</v>
      </c>
      <c r="B263" s="1" t="s">
        <v>74</v>
      </c>
      <c r="D263" s="1" t="s">
        <v>77</v>
      </c>
      <c r="K263" s="1" t="s">
        <v>37</v>
      </c>
      <c r="M263" s="6">
        <v>9.8300000000000002E-3</v>
      </c>
      <c r="N263" s="6"/>
      <c r="O263" s="6">
        <v>2.61</v>
      </c>
      <c r="P263" s="6"/>
      <c r="Q263" s="4">
        <v>0.9</v>
      </c>
      <c r="R263" s="5">
        <v>103</v>
      </c>
      <c r="S263" s="2">
        <v>1</v>
      </c>
      <c r="T263" s="2">
        <v>5.5</v>
      </c>
      <c r="U263" s="6"/>
      <c r="V263" s="6"/>
      <c r="W263" s="6" t="s">
        <v>420</v>
      </c>
      <c r="X263" s="1" t="s">
        <v>451</v>
      </c>
      <c r="Y263" s="1" t="s">
        <v>416</v>
      </c>
      <c r="AA263" s="6"/>
    </row>
    <row r="264" spans="1:27" x14ac:dyDescent="0.3">
      <c r="A264" s="1" t="s">
        <v>73</v>
      </c>
      <c r="B264" s="1" t="s">
        <v>74</v>
      </c>
      <c r="D264" s="1" t="s">
        <v>77</v>
      </c>
      <c r="F264" s="1" t="s">
        <v>417</v>
      </c>
      <c r="K264" s="1" t="s">
        <v>37</v>
      </c>
      <c r="M264" s="6">
        <v>9.6200000000000001E-3</v>
      </c>
      <c r="N264" s="6"/>
      <c r="O264" s="6">
        <v>2.75</v>
      </c>
      <c r="P264" s="6"/>
      <c r="Q264" s="4">
        <v>0.88</v>
      </c>
      <c r="R264" s="5">
        <v>57</v>
      </c>
      <c r="S264" s="2">
        <v>1</v>
      </c>
      <c r="T264" s="2">
        <v>4.8</v>
      </c>
      <c r="U264" s="6"/>
      <c r="V264" s="6"/>
      <c r="W264" s="6" t="s">
        <v>420</v>
      </c>
      <c r="X264" s="1" t="s">
        <v>451</v>
      </c>
      <c r="Y264" s="1" t="s">
        <v>416</v>
      </c>
    </row>
    <row r="265" spans="1:27" x14ac:dyDescent="0.3">
      <c r="A265" s="1" t="s">
        <v>73</v>
      </c>
      <c r="B265" s="1" t="s">
        <v>74</v>
      </c>
      <c r="D265" s="1" t="s">
        <v>77</v>
      </c>
      <c r="F265" s="1" t="s">
        <v>78</v>
      </c>
      <c r="K265" s="1" t="s">
        <v>37</v>
      </c>
      <c r="M265" s="6">
        <v>9.4599999999999997E-3</v>
      </c>
      <c r="N265" s="6"/>
      <c r="O265" s="6">
        <v>2.44</v>
      </c>
      <c r="P265" s="6"/>
      <c r="Q265" s="4">
        <v>0.95</v>
      </c>
      <c r="R265" s="5">
        <v>45</v>
      </c>
      <c r="S265" s="2">
        <v>1.1000000000000001</v>
      </c>
      <c r="T265" s="2">
        <v>5.5</v>
      </c>
      <c r="U265" s="6"/>
      <c r="V265" s="6"/>
      <c r="W265" s="6" t="s">
        <v>420</v>
      </c>
      <c r="X265" s="1" t="s">
        <v>451</v>
      </c>
      <c r="Y265" s="1" t="s">
        <v>416</v>
      </c>
    </row>
    <row r="266" spans="1:27" x14ac:dyDescent="0.3">
      <c r="A266" s="1" t="s">
        <v>73</v>
      </c>
      <c r="B266" s="1" t="s">
        <v>74</v>
      </c>
      <c r="D266" s="1" t="s">
        <v>116</v>
      </c>
      <c r="K266" s="1" t="s">
        <v>37</v>
      </c>
      <c r="M266" s="6">
        <v>1.111E-2</v>
      </c>
      <c r="N266" s="6"/>
      <c r="O266" s="6">
        <v>2.74</v>
      </c>
      <c r="P266" s="6"/>
      <c r="Q266" s="4">
        <v>0.98</v>
      </c>
      <c r="R266" s="5">
        <v>37</v>
      </c>
      <c r="S266" s="2">
        <v>1.5</v>
      </c>
      <c r="T266" s="2">
        <v>8.6</v>
      </c>
      <c r="U266" s="6"/>
      <c r="V266" s="6"/>
      <c r="W266" s="6" t="s">
        <v>420</v>
      </c>
      <c r="X266" s="1" t="s">
        <v>451</v>
      </c>
      <c r="Y266" s="1" t="s">
        <v>416</v>
      </c>
    </row>
    <row r="267" spans="1:27" x14ac:dyDescent="0.3">
      <c r="A267" s="1" t="s">
        <v>73</v>
      </c>
      <c r="B267" s="1" t="s">
        <v>74</v>
      </c>
      <c r="D267" s="1" t="s">
        <v>116</v>
      </c>
      <c r="F267" s="1" t="s">
        <v>121</v>
      </c>
      <c r="K267" s="1" t="s">
        <v>37</v>
      </c>
      <c r="M267" s="6">
        <v>1.06E-2</v>
      </c>
      <c r="N267" s="6"/>
      <c r="O267" s="6">
        <v>2.79</v>
      </c>
      <c r="P267" s="6"/>
      <c r="Q267" s="4">
        <v>0.98</v>
      </c>
      <c r="R267" s="5">
        <v>26</v>
      </c>
      <c r="S267" s="2">
        <v>1.5</v>
      </c>
      <c r="T267" s="2">
        <v>7.5</v>
      </c>
      <c r="U267" s="6"/>
      <c r="V267" s="6"/>
      <c r="W267" s="6" t="s">
        <v>420</v>
      </c>
      <c r="X267" s="1" t="s">
        <v>451</v>
      </c>
      <c r="Y267" s="1" t="s">
        <v>416</v>
      </c>
    </row>
    <row r="268" spans="1:27" x14ac:dyDescent="0.3">
      <c r="A268" s="1" t="s">
        <v>73</v>
      </c>
      <c r="B268" s="1" t="s">
        <v>74</v>
      </c>
      <c r="D268" s="1" t="s">
        <v>88</v>
      </c>
      <c r="K268" s="1" t="s">
        <v>37</v>
      </c>
      <c r="M268" s="6">
        <v>9.2800000000000001E-3</v>
      </c>
      <c r="N268" s="6"/>
      <c r="O268" s="6">
        <v>2.9</v>
      </c>
      <c r="P268" s="6"/>
      <c r="Q268" s="4">
        <v>0.97</v>
      </c>
      <c r="R268" s="5">
        <v>50</v>
      </c>
      <c r="S268" s="2">
        <v>1.6</v>
      </c>
      <c r="T268" s="2">
        <v>7.1</v>
      </c>
      <c r="U268" s="6"/>
      <c r="V268" s="6"/>
      <c r="W268" s="6" t="s">
        <v>420</v>
      </c>
      <c r="X268" s="1" t="s">
        <v>451</v>
      </c>
      <c r="Y268" s="1" t="s">
        <v>416</v>
      </c>
    </row>
    <row r="269" spans="1:27" x14ac:dyDescent="0.3">
      <c r="A269" s="1" t="s">
        <v>73</v>
      </c>
      <c r="B269" s="1" t="s">
        <v>74</v>
      </c>
      <c r="D269" s="1" t="s">
        <v>88</v>
      </c>
      <c r="F269" s="1" t="s">
        <v>106</v>
      </c>
      <c r="K269" s="1" t="s">
        <v>37</v>
      </c>
      <c r="M269" s="6">
        <v>9.0200000000000002E-3</v>
      </c>
      <c r="N269" s="6"/>
      <c r="O269" s="6">
        <v>3</v>
      </c>
      <c r="P269" s="6"/>
      <c r="Q269" s="4">
        <v>0.97</v>
      </c>
      <c r="R269" s="5">
        <v>16</v>
      </c>
      <c r="S269" s="2">
        <v>2.2999999999999998</v>
      </c>
      <c r="T269" s="2">
        <v>7</v>
      </c>
      <c r="U269" s="6"/>
      <c r="V269" s="6"/>
      <c r="W269" s="6" t="s">
        <v>420</v>
      </c>
      <c r="X269" s="1" t="s">
        <v>451</v>
      </c>
      <c r="Y269" s="1" t="s">
        <v>416</v>
      </c>
    </row>
    <row r="270" spans="1:27" x14ac:dyDescent="0.3">
      <c r="A270" s="1" t="s">
        <v>73</v>
      </c>
      <c r="B270" s="1" t="s">
        <v>74</v>
      </c>
      <c r="D270" s="1" t="s">
        <v>88</v>
      </c>
      <c r="F270" s="1" t="s">
        <v>111</v>
      </c>
      <c r="K270" s="1" t="s">
        <v>37</v>
      </c>
      <c r="M270" s="6">
        <v>1.04E-2</v>
      </c>
      <c r="N270" s="6"/>
      <c r="O270" s="6">
        <v>2.83</v>
      </c>
      <c r="P270" s="6"/>
      <c r="Q270" s="4">
        <v>0.94</v>
      </c>
      <c r="R270" s="5">
        <v>20</v>
      </c>
      <c r="S270" s="2">
        <v>1.6</v>
      </c>
      <c r="T270" s="2">
        <v>4.8</v>
      </c>
      <c r="U270" s="6"/>
      <c r="V270" s="6"/>
      <c r="W270" s="6" t="s">
        <v>420</v>
      </c>
      <c r="X270" s="1" t="s">
        <v>451</v>
      </c>
      <c r="Y270" s="1" t="s">
        <v>416</v>
      </c>
    </row>
    <row r="271" spans="1:27" x14ac:dyDescent="0.3">
      <c r="A271" s="1" t="s">
        <v>73</v>
      </c>
      <c r="B271" s="1" t="s">
        <v>74</v>
      </c>
      <c r="D271" s="1" t="s">
        <v>131</v>
      </c>
      <c r="F271" s="1" t="s">
        <v>135</v>
      </c>
      <c r="K271" s="1" t="s">
        <v>37</v>
      </c>
      <c r="M271" s="6">
        <v>9.4000000000000004E-3</v>
      </c>
      <c r="N271" s="6"/>
      <c r="O271" s="6">
        <v>2.5099999999999998</v>
      </c>
      <c r="P271" s="6"/>
      <c r="Q271" s="4">
        <v>0.96</v>
      </c>
      <c r="R271" s="5">
        <v>50</v>
      </c>
      <c r="S271" s="2">
        <v>1.8</v>
      </c>
      <c r="T271" s="2">
        <v>7.1</v>
      </c>
      <c r="U271" s="6"/>
      <c r="V271" s="6"/>
      <c r="W271" s="6" t="s">
        <v>420</v>
      </c>
      <c r="X271" s="1" t="s">
        <v>451</v>
      </c>
      <c r="Y271" s="1" t="s">
        <v>416</v>
      </c>
    </row>
    <row r="272" spans="1:27" x14ac:dyDescent="0.3">
      <c r="A272" s="1" t="s">
        <v>73</v>
      </c>
      <c r="B272" s="10" t="s">
        <v>74</v>
      </c>
      <c r="D272" s="10" t="s">
        <v>88</v>
      </c>
      <c r="F272" s="10" t="s">
        <v>441</v>
      </c>
      <c r="G272" s="10" t="s">
        <v>439</v>
      </c>
      <c r="K272" s="1" t="s">
        <v>37</v>
      </c>
      <c r="L272" s="1" t="s">
        <v>457</v>
      </c>
      <c r="M272" s="10">
        <v>2.1000000000000001E-2</v>
      </c>
      <c r="N272" s="10"/>
      <c r="O272" s="10">
        <v>2.3149999999999999</v>
      </c>
      <c r="Q272" s="16">
        <v>0.71</v>
      </c>
      <c r="R272" s="10">
        <v>74</v>
      </c>
      <c r="S272" s="1">
        <v>2.2999999999999998</v>
      </c>
      <c r="T272" s="10">
        <v>5.5</v>
      </c>
      <c r="W272" s="1" t="s">
        <v>448</v>
      </c>
      <c r="X272" s="1" t="s">
        <v>451</v>
      </c>
      <c r="Y272" s="1" t="s">
        <v>449</v>
      </c>
    </row>
    <row r="273" spans="1:25" x14ac:dyDescent="0.3">
      <c r="A273" s="1" t="s">
        <v>73</v>
      </c>
      <c r="B273" s="10" t="s">
        <v>74</v>
      </c>
      <c r="K273" s="1" t="s">
        <v>37</v>
      </c>
      <c r="M273" s="10">
        <v>5.041760259690979E-3</v>
      </c>
      <c r="O273" s="10">
        <v>2.6819999999999999</v>
      </c>
      <c r="P273" s="10"/>
      <c r="Q273" s="16">
        <v>0.93100000000000005</v>
      </c>
      <c r="R273" s="1">
        <v>360</v>
      </c>
      <c r="U273" s="6"/>
      <c r="V273" s="6"/>
      <c r="W273" s="1" t="s">
        <v>474</v>
      </c>
      <c r="X273" s="1" t="s">
        <v>451</v>
      </c>
      <c r="Y273" s="1" t="s">
        <v>475</v>
      </c>
    </row>
    <row r="274" spans="1:25" x14ac:dyDescent="0.3">
      <c r="A274" s="1" t="s">
        <v>73</v>
      </c>
      <c r="B274" s="10" t="s">
        <v>74</v>
      </c>
      <c r="D274" s="10" t="s">
        <v>131</v>
      </c>
      <c r="E274" s="10"/>
      <c r="K274" s="1" t="s">
        <v>37</v>
      </c>
      <c r="M274" s="10">
        <v>4.5894274557472291E-3</v>
      </c>
      <c r="O274" s="10">
        <v>2.786</v>
      </c>
      <c r="P274" s="10"/>
      <c r="Q274" s="16">
        <v>0.92600000000000005</v>
      </c>
      <c r="R274" s="1">
        <v>150</v>
      </c>
      <c r="U274" s="6"/>
      <c r="V274" s="6"/>
      <c r="W274" s="1" t="s">
        <v>474</v>
      </c>
      <c r="X274" s="1" t="s">
        <v>451</v>
      </c>
      <c r="Y274" s="1" t="s">
        <v>475</v>
      </c>
    </row>
    <row r="275" spans="1:25" x14ac:dyDescent="0.3">
      <c r="A275" s="1" t="s">
        <v>73</v>
      </c>
      <c r="B275" s="10" t="s">
        <v>74</v>
      </c>
      <c r="D275" s="10" t="s">
        <v>131</v>
      </c>
      <c r="F275" s="10" t="s">
        <v>132</v>
      </c>
      <c r="G275" s="1" t="s">
        <v>473</v>
      </c>
      <c r="K275" s="1" t="s">
        <v>37</v>
      </c>
      <c r="M275" s="10">
        <v>8.4009128450628556E-4</v>
      </c>
      <c r="O275" s="10">
        <v>3.762</v>
      </c>
      <c r="P275" s="10"/>
      <c r="Q275" s="16">
        <v>0.97699999999999998</v>
      </c>
      <c r="R275" s="10">
        <v>70</v>
      </c>
      <c r="U275" s="6"/>
      <c r="V275" s="6"/>
      <c r="W275" s="1" t="s">
        <v>474</v>
      </c>
      <c r="X275" s="1" t="s">
        <v>451</v>
      </c>
      <c r="Y275" s="1" t="s">
        <v>475</v>
      </c>
    </row>
    <row r="276" spans="1:25" x14ac:dyDescent="0.3">
      <c r="A276" s="1" t="s">
        <v>73</v>
      </c>
      <c r="B276" s="10" t="s">
        <v>74</v>
      </c>
      <c r="D276" s="10" t="s">
        <v>131</v>
      </c>
      <c r="F276" s="10" t="s">
        <v>135</v>
      </c>
      <c r="G276" s="1" t="s">
        <v>472</v>
      </c>
      <c r="K276" s="1" t="s">
        <v>37</v>
      </c>
      <c r="M276" s="10">
        <v>4.5483079240944083E-3</v>
      </c>
      <c r="O276" s="10">
        <v>2.875</v>
      </c>
      <c r="P276" s="10"/>
      <c r="Q276" s="16">
        <v>0.95199999999999996</v>
      </c>
      <c r="R276" s="10">
        <v>80</v>
      </c>
      <c r="U276" s="6"/>
      <c r="V276" s="6"/>
      <c r="W276" s="1" t="s">
        <v>474</v>
      </c>
      <c r="X276" s="1" t="s">
        <v>451</v>
      </c>
      <c r="Y276" s="1" t="s">
        <v>475</v>
      </c>
    </row>
    <row r="277" spans="1:25" x14ac:dyDescent="0.3">
      <c r="A277" s="1" t="s">
        <v>73</v>
      </c>
      <c r="B277" s="10" t="s">
        <v>74</v>
      </c>
      <c r="D277" s="10" t="s">
        <v>116</v>
      </c>
      <c r="K277" s="1" t="s">
        <v>37</v>
      </c>
      <c r="M277" s="10">
        <v>4.5165809426126659E-3</v>
      </c>
      <c r="O277" s="10">
        <v>3.0569999999999999</v>
      </c>
      <c r="P277" s="10"/>
      <c r="Q277" s="16">
        <v>0.99299999999999999</v>
      </c>
      <c r="R277" s="1">
        <v>130</v>
      </c>
      <c r="U277" s="6"/>
      <c r="V277" s="6"/>
      <c r="W277" s="1" t="s">
        <v>474</v>
      </c>
      <c r="X277" s="1" t="s">
        <v>451</v>
      </c>
      <c r="Y277" s="1" t="s">
        <v>475</v>
      </c>
    </row>
    <row r="278" spans="1:25" x14ac:dyDescent="0.3">
      <c r="A278" s="1" t="s">
        <v>73</v>
      </c>
      <c r="B278" s="10" t="s">
        <v>74</v>
      </c>
      <c r="D278" s="10" t="s">
        <v>116</v>
      </c>
      <c r="F278" s="10" t="s">
        <v>470</v>
      </c>
      <c r="G278" s="1" t="s">
        <v>471</v>
      </c>
      <c r="K278" s="1" t="s">
        <v>37</v>
      </c>
      <c r="M278" s="10">
        <v>6.7244845720018567E-3</v>
      </c>
      <c r="O278" s="10">
        <v>2.8940000000000001</v>
      </c>
      <c r="P278" s="10"/>
      <c r="Q278" s="16">
        <v>0.99299999999999999</v>
      </c>
      <c r="R278" s="10">
        <v>45</v>
      </c>
      <c r="U278" s="6"/>
      <c r="V278" s="6"/>
      <c r="W278" s="1" t="s">
        <v>474</v>
      </c>
      <c r="X278" s="1" t="s">
        <v>451</v>
      </c>
      <c r="Y278" s="1" t="s">
        <v>475</v>
      </c>
    </row>
    <row r="279" spans="1:25" x14ac:dyDescent="0.3">
      <c r="A279" s="1" t="s">
        <v>73</v>
      </c>
      <c r="B279" s="10" t="s">
        <v>74</v>
      </c>
      <c r="D279" s="10" t="s">
        <v>116</v>
      </c>
      <c r="F279" s="10" t="s">
        <v>468</v>
      </c>
      <c r="G279" s="1" t="s">
        <v>469</v>
      </c>
      <c r="K279" s="1" t="s">
        <v>37</v>
      </c>
      <c r="M279" s="10">
        <v>2.7531763430656249E-3</v>
      </c>
      <c r="O279" s="10">
        <v>3.3140000000000001</v>
      </c>
      <c r="P279" s="10"/>
      <c r="Q279" s="16">
        <v>0.99199999999999999</v>
      </c>
      <c r="R279" s="10">
        <v>85</v>
      </c>
      <c r="U279" s="6"/>
      <c r="V279" s="6"/>
      <c r="W279" s="1" t="s">
        <v>474</v>
      </c>
      <c r="X279" s="1" t="s">
        <v>451</v>
      </c>
      <c r="Y279" s="1" t="s">
        <v>475</v>
      </c>
    </row>
    <row r="280" spans="1:25" x14ac:dyDescent="0.3">
      <c r="A280" s="1" t="s">
        <v>73</v>
      </c>
      <c r="B280" s="10" t="s">
        <v>74</v>
      </c>
      <c r="D280" s="1" t="s">
        <v>77</v>
      </c>
      <c r="F280" s="10" t="s">
        <v>78</v>
      </c>
      <c r="K280" s="1" t="s">
        <v>37</v>
      </c>
      <c r="M280" s="10">
        <v>4.330812977380874E-3</v>
      </c>
      <c r="O280" s="10">
        <v>2.7050000000000001</v>
      </c>
      <c r="P280" s="10"/>
      <c r="Q280" s="16">
        <v>0.98699999999999999</v>
      </c>
      <c r="R280" s="10">
        <v>80</v>
      </c>
      <c r="U280" s="6"/>
      <c r="V280" s="6"/>
      <c r="W280" s="1" t="s">
        <v>474</v>
      </c>
      <c r="X280" s="1" t="s">
        <v>451</v>
      </c>
      <c r="Y280" s="1" t="s">
        <v>475</v>
      </c>
    </row>
    <row r="281" spans="1:25" ht="14.5" x14ac:dyDescent="0.35">
      <c r="A281" s="1" t="s">
        <v>73</v>
      </c>
      <c r="B281" s="10" t="s">
        <v>74</v>
      </c>
      <c r="D281" t="s">
        <v>131</v>
      </c>
      <c r="F281" t="s">
        <v>512</v>
      </c>
      <c r="G281" t="s">
        <v>513</v>
      </c>
      <c r="K281" s="1" t="s">
        <v>37</v>
      </c>
      <c r="L281" s="1" t="s">
        <v>548</v>
      </c>
      <c r="M281">
        <v>9.0047775824365593E-3</v>
      </c>
      <c r="N281"/>
      <c r="O281">
        <v>2.29</v>
      </c>
      <c r="P281"/>
      <c r="Q281" s="17">
        <v>0.87</v>
      </c>
      <c r="R281">
        <v>13</v>
      </c>
      <c r="S281">
        <v>3</v>
      </c>
      <c r="T281">
        <v>7</v>
      </c>
      <c r="U281" s="6"/>
      <c r="V281" s="6"/>
      <c r="W281" s="6" t="s">
        <v>549</v>
      </c>
      <c r="X281" s="6" t="s">
        <v>550</v>
      </c>
      <c r="Y281" t="s">
        <v>551</v>
      </c>
    </row>
    <row r="282" spans="1:25" ht="14.5" x14ac:dyDescent="0.35">
      <c r="A282" s="1" t="s">
        <v>73</v>
      </c>
      <c r="B282" s="10" t="s">
        <v>74</v>
      </c>
      <c r="D282" t="s">
        <v>131</v>
      </c>
      <c r="F282" t="s">
        <v>514</v>
      </c>
      <c r="G282"/>
      <c r="K282" s="1" t="s">
        <v>37</v>
      </c>
      <c r="L282" s="1" t="s">
        <v>548</v>
      </c>
      <c r="M282">
        <v>4.772763393680197E-5</v>
      </c>
      <c r="N282"/>
      <c r="O282">
        <v>4.84</v>
      </c>
      <c r="P282"/>
      <c r="Q282" s="17">
        <v>0.87</v>
      </c>
      <c r="R282">
        <v>39</v>
      </c>
      <c r="S282">
        <v>2.5</v>
      </c>
      <c r="T282">
        <v>11</v>
      </c>
      <c r="U282" s="6"/>
      <c r="V282" s="6"/>
      <c r="W282" s="6" t="s">
        <v>549</v>
      </c>
      <c r="X282" s="6" t="s">
        <v>550</v>
      </c>
      <c r="Y282" t="s">
        <v>551</v>
      </c>
    </row>
    <row r="283" spans="1:25" ht="14.5" x14ac:dyDescent="0.35">
      <c r="A283" s="1" t="s">
        <v>73</v>
      </c>
      <c r="B283" s="10" t="s">
        <v>74</v>
      </c>
      <c r="D283" t="s">
        <v>131</v>
      </c>
      <c r="F283" t="s">
        <v>515</v>
      </c>
      <c r="G283" t="s">
        <v>516</v>
      </c>
      <c r="K283" s="1" t="s">
        <v>37</v>
      </c>
      <c r="L283" s="1" t="s">
        <v>548</v>
      </c>
      <c r="M283">
        <v>7.4465830709243381E-3</v>
      </c>
      <c r="N283"/>
      <c r="O283">
        <v>2.34</v>
      </c>
      <c r="P283"/>
      <c r="Q283" s="17">
        <v>0.69</v>
      </c>
      <c r="R283">
        <v>14</v>
      </c>
      <c r="S283">
        <v>5</v>
      </c>
      <c r="T283">
        <v>9</v>
      </c>
      <c r="U283" s="6"/>
      <c r="V283" s="6"/>
      <c r="W283" s="6" t="s">
        <v>549</v>
      </c>
      <c r="X283" s="6" t="s">
        <v>550</v>
      </c>
      <c r="Y283" t="s">
        <v>551</v>
      </c>
    </row>
    <row r="284" spans="1:25" ht="14.5" x14ac:dyDescent="0.35">
      <c r="A284" s="1" t="s">
        <v>73</v>
      </c>
      <c r="B284" s="10" t="s">
        <v>74</v>
      </c>
      <c r="D284" t="s">
        <v>479</v>
      </c>
      <c r="F284" t="s">
        <v>517</v>
      </c>
      <c r="G284"/>
      <c r="K284" s="1" t="s">
        <v>37</v>
      </c>
      <c r="L284" s="1" t="s">
        <v>548</v>
      </c>
      <c r="M284">
        <v>1.7293667118571557E-3</v>
      </c>
      <c r="N284"/>
      <c r="O284">
        <v>3.26</v>
      </c>
      <c r="P284"/>
      <c r="Q284" s="17">
        <v>0.88</v>
      </c>
      <c r="R284">
        <v>41</v>
      </c>
      <c r="S284">
        <v>5</v>
      </c>
      <c r="T284">
        <v>11.5</v>
      </c>
      <c r="U284" s="6"/>
      <c r="V284" s="6"/>
      <c r="W284" s="6" t="s">
        <v>549</v>
      </c>
      <c r="X284" s="6" t="s">
        <v>550</v>
      </c>
      <c r="Y284" t="s">
        <v>551</v>
      </c>
    </row>
    <row r="285" spans="1:25" ht="14.5" x14ac:dyDescent="0.35">
      <c r="A285" s="1" t="s">
        <v>73</v>
      </c>
      <c r="B285" s="10" t="s">
        <v>74</v>
      </c>
      <c r="D285" t="s">
        <v>480</v>
      </c>
      <c r="F285" t="s">
        <v>518</v>
      </c>
      <c r="G285" t="s">
        <v>519</v>
      </c>
      <c r="K285" s="1" t="s">
        <v>37</v>
      </c>
      <c r="L285" s="1" t="s">
        <v>548</v>
      </c>
      <c r="M285">
        <v>7.9865212659555023E-3</v>
      </c>
      <c r="N285"/>
      <c r="O285">
        <v>2.67</v>
      </c>
      <c r="P285"/>
      <c r="Q285" s="17">
        <v>0.87</v>
      </c>
      <c r="R285">
        <v>14</v>
      </c>
      <c r="S285">
        <v>6</v>
      </c>
      <c r="T285">
        <v>15</v>
      </c>
      <c r="U285" s="6"/>
      <c r="V285" s="6"/>
      <c r="W285" s="6" t="s">
        <v>549</v>
      </c>
      <c r="X285" s="6" t="s">
        <v>550</v>
      </c>
      <c r="Y285" t="s">
        <v>551</v>
      </c>
    </row>
    <row r="286" spans="1:25" ht="14.5" x14ac:dyDescent="0.35">
      <c r="A286" s="1" t="s">
        <v>73</v>
      </c>
      <c r="B286" s="10" t="s">
        <v>74</v>
      </c>
      <c r="D286" t="s">
        <v>77</v>
      </c>
      <c r="F286" t="s">
        <v>78</v>
      </c>
      <c r="G286"/>
      <c r="K286" s="1" t="s">
        <v>37</v>
      </c>
      <c r="L286" s="1" t="s">
        <v>548</v>
      </c>
      <c r="M286">
        <v>5.2475183991813846E-3</v>
      </c>
      <c r="N286"/>
      <c r="O286">
        <v>2.73</v>
      </c>
      <c r="P286"/>
      <c r="Q286" s="17">
        <v>0.84</v>
      </c>
      <c r="R286">
        <v>21</v>
      </c>
      <c r="S286">
        <v>2</v>
      </c>
      <c r="T286">
        <v>6</v>
      </c>
      <c r="U286" s="6"/>
      <c r="V286" s="6"/>
      <c r="W286" s="6" t="s">
        <v>549</v>
      </c>
      <c r="X286" s="6" t="s">
        <v>550</v>
      </c>
      <c r="Y286" t="s">
        <v>551</v>
      </c>
    </row>
    <row r="287" spans="1:25" ht="14.5" x14ac:dyDescent="0.35">
      <c r="A287" s="1" t="s">
        <v>73</v>
      </c>
      <c r="B287" s="15" t="s">
        <v>74</v>
      </c>
      <c r="D287" s="15" t="s">
        <v>77</v>
      </c>
      <c r="F287" s="15" t="s">
        <v>78</v>
      </c>
      <c r="G287" s="15"/>
      <c r="H287" s="15"/>
      <c r="K287" s="1" t="s">
        <v>37</v>
      </c>
      <c r="M287" s="15">
        <v>3.8874572434761303E-3</v>
      </c>
      <c r="N287" s="15"/>
      <c r="O287" s="15">
        <v>2.67</v>
      </c>
      <c r="Q287" s="18">
        <v>0.9</v>
      </c>
      <c r="R287" s="15">
        <v>42</v>
      </c>
      <c r="S287" s="15">
        <v>1.2</v>
      </c>
      <c r="T287" s="15">
        <v>9.5</v>
      </c>
      <c r="U287" s="6"/>
      <c r="V287" s="6"/>
      <c r="W287" s="6" t="s">
        <v>570</v>
      </c>
      <c r="X287" s="6" t="s">
        <v>550</v>
      </c>
      <c r="Y287" s="1" t="s">
        <v>571</v>
      </c>
    </row>
    <row r="288" spans="1:25" ht="14.5" x14ac:dyDescent="0.35">
      <c r="A288" s="1" t="s">
        <v>73</v>
      </c>
      <c r="B288" s="15" t="s">
        <v>74</v>
      </c>
      <c r="D288" s="15" t="s">
        <v>116</v>
      </c>
      <c r="F288" s="15" t="s">
        <v>117</v>
      </c>
      <c r="G288" s="15" t="s">
        <v>552</v>
      </c>
      <c r="H288" s="15"/>
      <c r="K288" s="1" t="s">
        <v>37</v>
      </c>
      <c r="M288" s="15">
        <v>7.6932273122710081E-4</v>
      </c>
      <c r="N288" s="15"/>
      <c r="O288" s="15">
        <v>3.68</v>
      </c>
      <c r="Q288" s="18">
        <v>0.9</v>
      </c>
      <c r="R288" s="15">
        <v>5</v>
      </c>
      <c r="S288" s="15">
        <v>8.1999999999999993</v>
      </c>
      <c r="T288" s="15">
        <v>15</v>
      </c>
      <c r="U288" s="6"/>
      <c r="V288" s="6"/>
      <c r="W288" s="6" t="s">
        <v>570</v>
      </c>
      <c r="X288" s="6" t="s">
        <v>550</v>
      </c>
      <c r="Y288" s="1" t="s">
        <v>571</v>
      </c>
    </row>
    <row r="289" spans="1:27" ht="14.5" x14ac:dyDescent="0.35">
      <c r="A289" s="1" t="s">
        <v>73</v>
      </c>
      <c r="B289" s="15" t="s">
        <v>74</v>
      </c>
      <c r="D289" s="15" t="s">
        <v>116</v>
      </c>
      <c r="F289" s="15" t="s">
        <v>468</v>
      </c>
      <c r="G289" s="15"/>
      <c r="H289" s="15"/>
      <c r="K289" s="1" t="s">
        <v>37</v>
      </c>
      <c r="M289" s="15">
        <v>1.0489139326277882E-3</v>
      </c>
      <c r="N289" s="15"/>
      <c r="O289" s="15">
        <v>3.65</v>
      </c>
      <c r="Q289" s="18">
        <v>0.9</v>
      </c>
      <c r="R289" s="15">
        <v>39</v>
      </c>
      <c r="S289" s="15">
        <v>2.1</v>
      </c>
      <c r="T289" s="15">
        <v>12.9</v>
      </c>
      <c r="U289" s="6"/>
      <c r="V289" s="6"/>
      <c r="W289" s="6" t="s">
        <v>570</v>
      </c>
      <c r="X289" s="6" t="s">
        <v>550</v>
      </c>
      <c r="Y289" s="1" t="s">
        <v>571</v>
      </c>
    </row>
    <row r="290" spans="1:27" ht="14.5" x14ac:dyDescent="0.35">
      <c r="A290" s="1" t="s">
        <v>73</v>
      </c>
      <c r="B290" s="15" t="s">
        <v>74</v>
      </c>
      <c r="D290" s="15" t="s">
        <v>116</v>
      </c>
      <c r="F290" s="15" t="s">
        <v>470</v>
      </c>
      <c r="G290" s="15"/>
      <c r="H290" s="15"/>
      <c r="K290" s="1" t="s">
        <v>37</v>
      </c>
      <c r="M290" s="15">
        <v>3.8874572434761303E-3</v>
      </c>
      <c r="N290" s="15"/>
      <c r="O290" s="15">
        <v>3.1</v>
      </c>
      <c r="Q290" s="18">
        <v>0.9</v>
      </c>
      <c r="R290" s="15">
        <v>29</v>
      </c>
      <c r="S290" s="15">
        <v>6.1</v>
      </c>
      <c r="T290" s="15">
        <v>16</v>
      </c>
      <c r="U290" s="6"/>
      <c r="V290" s="6"/>
      <c r="W290" s="6" t="s">
        <v>570</v>
      </c>
      <c r="X290" s="6" t="s">
        <v>550</v>
      </c>
      <c r="Y290" s="1" t="s">
        <v>571</v>
      </c>
    </row>
    <row r="291" spans="1:27" ht="14.5" x14ac:dyDescent="0.35">
      <c r="A291" s="1" t="s">
        <v>73</v>
      </c>
      <c r="B291" s="15" t="s">
        <v>74</v>
      </c>
      <c r="D291" s="15" t="s">
        <v>131</v>
      </c>
      <c r="F291" s="15"/>
      <c r="G291" s="15"/>
      <c r="H291" s="15"/>
      <c r="K291" s="1" t="s">
        <v>37</v>
      </c>
      <c r="M291" s="15">
        <v>1.8046025470104844E-4</v>
      </c>
      <c r="N291" s="15"/>
      <c r="O291" s="15">
        <v>4.2</v>
      </c>
      <c r="Q291" s="18">
        <v>0.9</v>
      </c>
      <c r="R291" s="15">
        <v>7</v>
      </c>
      <c r="S291" s="15">
        <v>5.4</v>
      </c>
      <c r="T291" s="15">
        <v>9.5</v>
      </c>
      <c r="U291" s="6"/>
      <c r="V291" s="6"/>
      <c r="W291" s="6" t="s">
        <v>570</v>
      </c>
      <c r="X291" s="6" t="s">
        <v>550</v>
      </c>
      <c r="Y291" s="1" t="s">
        <v>571</v>
      </c>
    </row>
    <row r="292" spans="1:27" ht="14.5" x14ac:dyDescent="0.35">
      <c r="A292" s="1" t="s">
        <v>544</v>
      </c>
      <c r="B292" t="s">
        <v>545</v>
      </c>
      <c r="D292" t="s">
        <v>490</v>
      </c>
      <c r="F292" t="s">
        <v>538</v>
      </c>
      <c r="G292"/>
      <c r="K292" s="1" t="s">
        <v>37</v>
      </c>
      <c r="L292" s="1" t="s">
        <v>548</v>
      </c>
      <c r="M292">
        <v>7.5774004022845481E-2</v>
      </c>
      <c r="N292"/>
      <c r="O292">
        <v>0.74</v>
      </c>
      <c r="P292"/>
      <c r="Q292" s="17">
        <v>0.56999999999999995</v>
      </c>
      <c r="R292">
        <v>20</v>
      </c>
      <c r="S292">
        <v>3</v>
      </c>
      <c r="T292">
        <v>12</v>
      </c>
      <c r="U292" s="6"/>
      <c r="V292" s="6"/>
      <c r="W292" s="6" t="s">
        <v>549</v>
      </c>
      <c r="X292" s="6" t="s">
        <v>550</v>
      </c>
      <c r="Y292" t="s">
        <v>551</v>
      </c>
    </row>
    <row r="293" spans="1:27" x14ac:dyDescent="0.3">
      <c r="A293" s="1" t="s">
        <v>73</v>
      </c>
      <c r="B293" s="1" t="s">
        <v>260</v>
      </c>
      <c r="D293" s="1" t="s">
        <v>261</v>
      </c>
      <c r="F293" s="1" t="s">
        <v>262</v>
      </c>
      <c r="K293" s="1" t="s">
        <v>37</v>
      </c>
      <c r="M293" s="3">
        <v>3.0999999999999999E-3</v>
      </c>
      <c r="N293" s="3">
        <v>2.0000000000000001E-4</v>
      </c>
      <c r="O293" s="3">
        <v>2.9039999999999999</v>
      </c>
      <c r="P293" s="3">
        <v>0.157</v>
      </c>
      <c r="Q293" s="4">
        <v>0.81</v>
      </c>
      <c r="R293" s="5">
        <v>14</v>
      </c>
      <c r="S293" s="2">
        <v>3.4</v>
      </c>
      <c r="T293" s="2">
        <v>6.8</v>
      </c>
      <c r="U293" s="6"/>
      <c r="V293" s="6"/>
      <c r="W293" s="6" t="s">
        <v>9</v>
      </c>
      <c r="X293" s="1" t="s">
        <v>451</v>
      </c>
      <c r="Y293" s="1" t="s">
        <v>104</v>
      </c>
      <c r="Z293" s="1" t="s">
        <v>284</v>
      </c>
      <c r="AA293" s="6" t="s">
        <v>361</v>
      </c>
    </row>
    <row r="294" spans="1:27" x14ac:dyDescent="0.3">
      <c r="A294" s="1" t="s">
        <v>73</v>
      </c>
      <c r="B294" s="1" t="s">
        <v>260</v>
      </c>
      <c r="D294" s="1" t="s">
        <v>265</v>
      </c>
      <c r="F294" s="1" t="s">
        <v>263</v>
      </c>
      <c r="G294" s="1" t="s">
        <v>264</v>
      </c>
      <c r="K294" s="1" t="s">
        <v>37</v>
      </c>
      <c r="M294" s="3">
        <v>1.4999999999999999E-2</v>
      </c>
      <c r="N294" s="3">
        <v>1.1000000000000001E-3</v>
      </c>
      <c r="O294" s="3">
        <v>2.5960000000000001</v>
      </c>
      <c r="P294" s="3">
        <v>0.15</v>
      </c>
      <c r="Q294" s="4">
        <v>0.79</v>
      </c>
      <c r="R294" s="5">
        <v>15</v>
      </c>
      <c r="S294" s="2">
        <v>9</v>
      </c>
      <c r="T294" s="2">
        <v>17.5</v>
      </c>
      <c r="U294" s="6"/>
      <c r="V294" s="6"/>
      <c r="W294" s="6" t="s">
        <v>9</v>
      </c>
      <c r="X294" s="1" t="s">
        <v>451</v>
      </c>
      <c r="Y294" s="1" t="s">
        <v>104</v>
      </c>
      <c r="Z294" s="1" t="s">
        <v>284</v>
      </c>
      <c r="AA294" s="6" t="s">
        <v>361</v>
      </c>
    </row>
    <row r="295" spans="1:27" x14ac:dyDescent="0.3">
      <c r="A295" s="1" t="s">
        <v>73</v>
      </c>
      <c r="B295" s="1" t="s">
        <v>260</v>
      </c>
      <c r="D295" s="1" t="s">
        <v>266</v>
      </c>
      <c r="F295" s="1" t="s">
        <v>267</v>
      </c>
      <c r="G295" s="1" t="s">
        <v>268</v>
      </c>
      <c r="K295" s="1" t="s">
        <v>37</v>
      </c>
      <c r="M295" s="3">
        <v>1.6899999999999998E-2</v>
      </c>
      <c r="N295" s="3">
        <v>6.9999999999999999E-4</v>
      </c>
      <c r="O295" s="3">
        <v>2.66</v>
      </c>
      <c r="P295" s="3">
        <v>0.113</v>
      </c>
      <c r="Q295" s="4">
        <v>0.83</v>
      </c>
      <c r="R295" s="5">
        <v>25</v>
      </c>
      <c r="S295" s="2">
        <v>3.2</v>
      </c>
      <c r="T295" s="2">
        <v>5.5</v>
      </c>
      <c r="U295" s="6"/>
      <c r="V295" s="6"/>
      <c r="W295" s="6" t="s">
        <v>9</v>
      </c>
      <c r="X295" s="1" t="s">
        <v>451</v>
      </c>
      <c r="Y295" s="1" t="s">
        <v>104</v>
      </c>
      <c r="Z295" s="1" t="s">
        <v>284</v>
      </c>
      <c r="AA295" s="6" t="s">
        <v>361</v>
      </c>
    </row>
    <row r="296" spans="1:27" x14ac:dyDescent="0.3">
      <c r="A296" s="1" t="s">
        <v>73</v>
      </c>
      <c r="B296" s="1" t="s">
        <v>260</v>
      </c>
      <c r="D296" s="1" t="s">
        <v>266</v>
      </c>
      <c r="F296" s="1" t="s">
        <v>269</v>
      </c>
      <c r="G296" s="1" t="s">
        <v>270</v>
      </c>
      <c r="K296" s="1" t="s">
        <v>37</v>
      </c>
      <c r="M296" s="3">
        <v>8.3000000000000001E-3</v>
      </c>
      <c r="N296" s="3">
        <v>5.9999999999999995E-4</v>
      </c>
      <c r="O296" s="3">
        <v>2.7770000000000001</v>
      </c>
      <c r="P296" s="3">
        <v>0.13300000000000001</v>
      </c>
      <c r="Q296" s="4">
        <v>0.74</v>
      </c>
      <c r="R296" s="5">
        <v>21</v>
      </c>
      <c r="S296" s="2">
        <v>2.8</v>
      </c>
      <c r="T296" s="2">
        <v>4.8</v>
      </c>
      <c r="U296" s="6"/>
      <c r="V296" s="6"/>
      <c r="W296" s="6" t="s">
        <v>9</v>
      </c>
      <c r="X296" s="1" t="s">
        <v>451</v>
      </c>
      <c r="Y296" s="1" t="s">
        <v>104</v>
      </c>
      <c r="Z296" s="1" t="s">
        <v>284</v>
      </c>
      <c r="AA296" s="6" t="s">
        <v>361</v>
      </c>
    </row>
    <row r="297" spans="1:27" ht="14.5" x14ac:dyDescent="0.35">
      <c r="A297" s="1" t="s">
        <v>432</v>
      </c>
      <c r="B297" s="1" t="s">
        <v>597</v>
      </c>
      <c r="D297" s="1" t="s">
        <v>582</v>
      </c>
      <c r="E297" s="1" t="s">
        <v>594</v>
      </c>
      <c r="F297" s="1" t="s">
        <v>574</v>
      </c>
      <c r="G297" s="1" t="s">
        <v>575</v>
      </c>
      <c r="K297" s="1" t="s">
        <v>37</v>
      </c>
      <c r="M297" s="6">
        <v>2.562979E-2</v>
      </c>
      <c r="N297" s="6"/>
      <c r="O297" s="6">
        <v>0.86699999999999999</v>
      </c>
      <c r="P297" s="6"/>
      <c r="R297" s="15">
        <v>15</v>
      </c>
      <c r="S297" s="6"/>
      <c r="T297" s="6">
        <v>3.5</v>
      </c>
      <c r="U297" s="6"/>
      <c r="V297" s="6"/>
      <c r="W297" s="6"/>
      <c r="X297" s="6"/>
      <c r="Y297" s="1" t="s">
        <v>591</v>
      </c>
    </row>
    <row r="298" spans="1:27" ht="14.5" x14ac:dyDescent="0.35">
      <c r="A298" s="1" t="s">
        <v>432</v>
      </c>
      <c r="B298" s="1" t="s">
        <v>597</v>
      </c>
      <c r="D298" s="1" t="s">
        <v>582</v>
      </c>
      <c r="E298" s="1" t="s">
        <v>594</v>
      </c>
      <c r="F298" s="1" t="s">
        <v>574</v>
      </c>
      <c r="G298" s="1" t="s">
        <v>575</v>
      </c>
      <c r="K298" s="1" t="s">
        <v>37</v>
      </c>
      <c r="M298" s="6">
        <v>6.4958929999999998E-2</v>
      </c>
      <c r="N298" s="6"/>
      <c r="O298" s="6">
        <v>0.82199999999999995</v>
      </c>
      <c r="P298" s="6"/>
      <c r="R298" s="15">
        <v>15</v>
      </c>
      <c r="S298" s="6">
        <v>3.5</v>
      </c>
      <c r="T298" s="6"/>
      <c r="U298" s="6"/>
      <c r="V298" s="6"/>
      <c r="W298" s="6"/>
      <c r="X298" s="6"/>
      <c r="Y298" s="1" t="s">
        <v>591</v>
      </c>
    </row>
    <row r="299" spans="1:27" x14ac:dyDescent="0.3">
      <c r="A299" s="1" t="s">
        <v>432</v>
      </c>
      <c r="B299" s="1" t="s">
        <v>597</v>
      </c>
      <c r="D299" s="1" t="s">
        <v>582</v>
      </c>
      <c r="F299" s="1" t="s">
        <v>581</v>
      </c>
      <c r="G299" s="1" t="s">
        <v>579</v>
      </c>
      <c r="K299" s="1" t="s">
        <v>37</v>
      </c>
      <c r="L299" s="1" t="s">
        <v>590</v>
      </c>
      <c r="M299" s="6">
        <v>5.13207E-6</v>
      </c>
      <c r="N299" s="6"/>
      <c r="O299" s="6">
        <v>3.13</v>
      </c>
      <c r="P299" s="6"/>
      <c r="Q299" s="4">
        <v>0.64</v>
      </c>
      <c r="R299" s="5">
        <v>30</v>
      </c>
      <c r="S299" s="6">
        <v>4.8499999999999996</v>
      </c>
      <c r="T299" s="6">
        <v>9.25</v>
      </c>
      <c r="U299" s="6"/>
      <c r="V299" s="6"/>
      <c r="W299" s="6" t="s">
        <v>587</v>
      </c>
      <c r="X299" s="6" t="s">
        <v>588</v>
      </c>
      <c r="Y299" s="1" t="s">
        <v>589</v>
      </c>
    </row>
    <row r="300" spans="1:27" x14ac:dyDescent="0.3">
      <c r="A300" s="1" t="s">
        <v>33</v>
      </c>
      <c r="B300" s="1" t="s">
        <v>29</v>
      </c>
      <c r="D300" s="1" t="s">
        <v>6</v>
      </c>
      <c r="F300" s="1" t="s">
        <v>90</v>
      </c>
      <c r="G300" s="1" t="s">
        <v>57</v>
      </c>
      <c r="K300" s="1" t="s">
        <v>37</v>
      </c>
      <c r="M300" s="3">
        <v>3.5999999999999999E-3</v>
      </c>
      <c r="N300" s="3">
        <v>6.1999999999999998E-3</v>
      </c>
      <c r="O300" s="3">
        <v>3.1110000000000002</v>
      </c>
      <c r="P300" s="3">
        <v>0.27400000000000002</v>
      </c>
      <c r="Q300" s="4">
        <v>0.86</v>
      </c>
      <c r="R300" s="5">
        <v>29</v>
      </c>
      <c r="S300" s="2">
        <v>1.8</v>
      </c>
      <c r="T300" s="2">
        <v>10.4</v>
      </c>
      <c r="U300" s="6"/>
      <c r="V300" s="6"/>
      <c r="W300" s="6" t="s">
        <v>14</v>
      </c>
      <c r="X300" s="1" t="s">
        <v>451</v>
      </c>
      <c r="Y300" s="1" t="s">
        <v>15</v>
      </c>
      <c r="Z300" s="1" t="s">
        <v>284</v>
      </c>
      <c r="AA300" s="6" t="s">
        <v>361</v>
      </c>
    </row>
    <row r="301" spans="1:27" x14ac:dyDescent="0.3">
      <c r="A301" s="1" t="s">
        <v>33</v>
      </c>
      <c r="B301" s="1" t="s">
        <v>29</v>
      </c>
      <c r="D301" s="1" t="s">
        <v>6</v>
      </c>
      <c r="F301" s="1" t="s">
        <v>58</v>
      </c>
      <c r="G301" s="1" t="s">
        <v>59</v>
      </c>
      <c r="K301" s="1" t="s">
        <v>37</v>
      </c>
      <c r="M301" s="3">
        <v>7.1999999999999998E-3</v>
      </c>
      <c r="N301" s="3">
        <v>1E-4</v>
      </c>
      <c r="O301" s="3">
        <v>2.7850000000000001</v>
      </c>
      <c r="P301" s="3">
        <v>3.3000000000000002E-2</v>
      </c>
      <c r="Q301" s="4">
        <v>0.98</v>
      </c>
      <c r="R301" s="5">
        <v>125</v>
      </c>
      <c r="S301" s="2">
        <v>1.4</v>
      </c>
      <c r="T301" s="2">
        <v>11</v>
      </c>
      <c r="U301" s="6"/>
      <c r="V301" s="6"/>
      <c r="W301" s="6" t="s">
        <v>91</v>
      </c>
      <c r="X301" s="1" t="s">
        <v>451</v>
      </c>
      <c r="Y301" s="1" t="s">
        <v>98</v>
      </c>
      <c r="Z301" s="1" t="s">
        <v>284</v>
      </c>
      <c r="AA301" s="6" t="s">
        <v>361</v>
      </c>
    </row>
    <row r="302" spans="1:27" x14ac:dyDescent="0.3">
      <c r="A302" s="1" t="s">
        <v>73</v>
      </c>
      <c r="B302" s="1" t="s">
        <v>334</v>
      </c>
      <c r="D302" s="1" t="s">
        <v>335</v>
      </c>
      <c r="F302" s="1" t="s">
        <v>336</v>
      </c>
      <c r="K302" s="1" t="s">
        <v>36</v>
      </c>
      <c r="M302" s="3">
        <v>2.7000000000000001E-3</v>
      </c>
      <c r="N302" s="3">
        <v>5.0000000000000001E-4</v>
      </c>
      <c r="O302" s="3">
        <v>2.9180000000000001</v>
      </c>
      <c r="P302" s="3">
        <v>0.126</v>
      </c>
      <c r="Q302" s="4">
        <v>0.97</v>
      </c>
      <c r="R302" s="5">
        <v>20</v>
      </c>
      <c r="S302" s="2">
        <v>1.8</v>
      </c>
      <c r="T302" s="2">
        <v>10.1</v>
      </c>
      <c r="U302" s="6">
        <v>17.7</v>
      </c>
      <c r="V302" s="6">
        <v>1.8</v>
      </c>
      <c r="W302" s="6" t="s">
        <v>96</v>
      </c>
      <c r="X302" s="1" t="s">
        <v>451</v>
      </c>
      <c r="Y302" s="1" t="s">
        <v>10</v>
      </c>
      <c r="Z302" s="1" t="s">
        <v>284</v>
      </c>
      <c r="AA302" s="6" t="s">
        <v>361</v>
      </c>
    </row>
    <row r="303" spans="1:27" x14ac:dyDescent="0.3">
      <c r="A303" s="1" t="s">
        <v>73</v>
      </c>
      <c r="B303" s="1" t="s">
        <v>271</v>
      </c>
      <c r="D303" s="1" t="s">
        <v>272</v>
      </c>
      <c r="F303" s="1" t="s">
        <v>273</v>
      </c>
      <c r="G303" s="1" t="s">
        <v>274</v>
      </c>
      <c r="K303" s="1" t="s">
        <v>37</v>
      </c>
      <c r="M303" s="3">
        <v>1.8E-3</v>
      </c>
      <c r="N303" s="3">
        <v>2.0000000000000001E-4</v>
      </c>
      <c r="O303" s="3">
        <v>3.0009999999999999</v>
      </c>
      <c r="P303" s="3">
        <v>0.17399999999999999</v>
      </c>
      <c r="Q303" s="4">
        <v>0.94</v>
      </c>
      <c r="R303" s="5">
        <v>41</v>
      </c>
      <c r="S303" s="2">
        <v>17.3</v>
      </c>
      <c r="T303" s="2">
        <v>69.2</v>
      </c>
      <c r="U303" s="6"/>
      <c r="V303" s="6"/>
      <c r="W303" s="6" t="s">
        <v>9</v>
      </c>
      <c r="X303" s="1" t="s">
        <v>451</v>
      </c>
      <c r="Y303" s="1" t="s">
        <v>15</v>
      </c>
      <c r="Z303" s="1" t="s">
        <v>284</v>
      </c>
      <c r="AA303" s="6" t="s">
        <v>361</v>
      </c>
    </row>
    <row r="304" spans="1:27" x14ac:dyDescent="0.3">
      <c r="A304" s="1" t="s">
        <v>73</v>
      </c>
      <c r="B304" s="1" t="s">
        <v>271</v>
      </c>
      <c r="D304" s="1" t="s">
        <v>272</v>
      </c>
      <c r="F304" s="1" t="s">
        <v>273</v>
      </c>
      <c r="G304" s="1" t="s">
        <v>274</v>
      </c>
      <c r="K304" s="1" t="s">
        <v>37</v>
      </c>
      <c r="M304" s="3">
        <v>3.2000000000000002E-3</v>
      </c>
      <c r="N304" s="3">
        <v>4.0000000000000002E-4</v>
      </c>
      <c r="O304" s="3">
        <v>2.9529999999999998</v>
      </c>
      <c r="P304" s="3">
        <v>0.155</v>
      </c>
      <c r="Q304" s="4">
        <v>0.81</v>
      </c>
      <c r="R304" s="5">
        <v>21</v>
      </c>
      <c r="S304" s="2">
        <v>12.4</v>
      </c>
      <c r="T304" s="2">
        <v>77.099999999999994</v>
      </c>
      <c r="U304" s="6"/>
      <c r="V304" s="6"/>
      <c r="W304" s="6" t="s">
        <v>14</v>
      </c>
      <c r="X304" s="1" t="s">
        <v>451</v>
      </c>
      <c r="Y304" s="1" t="s">
        <v>15</v>
      </c>
      <c r="Z304" s="1" t="s">
        <v>284</v>
      </c>
      <c r="AA304" s="6" t="s">
        <v>361</v>
      </c>
    </row>
    <row r="305" spans="1:27" x14ac:dyDescent="0.3">
      <c r="A305" s="1" t="s">
        <v>73</v>
      </c>
      <c r="B305" s="1" t="s">
        <v>271</v>
      </c>
      <c r="D305" s="1" t="s">
        <v>272</v>
      </c>
      <c r="F305" s="1" t="s">
        <v>273</v>
      </c>
      <c r="G305" s="1" t="s">
        <v>274</v>
      </c>
      <c r="K305" s="1" t="s">
        <v>37</v>
      </c>
      <c r="M305" s="3">
        <v>1.8E-3</v>
      </c>
      <c r="N305" s="3">
        <v>1E-4</v>
      </c>
      <c r="O305" s="3">
        <v>2.9969999999999999</v>
      </c>
      <c r="P305" s="3">
        <v>7.9000000000000001E-2</v>
      </c>
      <c r="Q305" s="4">
        <v>0.95</v>
      </c>
      <c r="R305" s="5">
        <v>82</v>
      </c>
      <c r="S305" s="2">
        <v>2.4</v>
      </c>
      <c r="T305" s="2">
        <v>62</v>
      </c>
      <c r="U305" s="6"/>
      <c r="V305" s="6"/>
      <c r="W305" s="6" t="s">
        <v>91</v>
      </c>
      <c r="X305" s="1" t="s">
        <v>451</v>
      </c>
      <c r="Y305" s="1" t="s">
        <v>98</v>
      </c>
      <c r="Z305" s="1" t="s">
        <v>284</v>
      </c>
      <c r="AA305" s="6" t="s">
        <v>361</v>
      </c>
    </row>
    <row r="306" spans="1:27" x14ac:dyDescent="0.3">
      <c r="A306" s="1" t="s">
        <v>73</v>
      </c>
      <c r="B306" s="1" t="s">
        <v>271</v>
      </c>
      <c r="D306" s="1" t="s">
        <v>272</v>
      </c>
      <c r="F306" s="1" t="s">
        <v>275</v>
      </c>
      <c r="G306" s="1" t="s">
        <v>276</v>
      </c>
      <c r="K306" s="1" t="s">
        <v>37</v>
      </c>
      <c r="M306" s="3">
        <v>6.1999999999999998E-3</v>
      </c>
      <c r="N306" s="3">
        <v>6.9999999999999999E-4</v>
      </c>
      <c r="O306" s="3">
        <v>2.6909999999999998</v>
      </c>
      <c r="P306" s="3">
        <v>0.184</v>
      </c>
      <c r="Q306" s="4">
        <v>0.88</v>
      </c>
      <c r="R306" s="5">
        <v>34</v>
      </c>
      <c r="S306" s="2">
        <v>12.2</v>
      </c>
      <c r="T306" s="2">
        <v>40</v>
      </c>
      <c r="U306" s="6"/>
      <c r="V306" s="6"/>
      <c r="W306" s="6" t="s">
        <v>9</v>
      </c>
      <c r="X306" s="1" t="s">
        <v>451</v>
      </c>
      <c r="Y306" s="1" t="s">
        <v>15</v>
      </c>
      <c r="Z306" s="1" t="s">
        <v>284</v>
      </c>
      <c r="AA306" s="6" t="s">
        <v>361</v>
      </c>
    </row>
    <row r="307" spans="1:27" x14ac:dyDescent="0.3">
      <c r="A307" s="1" t="s">
        <v>73</v>
      </c>
      <c r="B307" s="1" t="s">
        <v>271</v>
      </c>
      <c r="D307" s="1" t="s">
        <v>272</v>
      </c>
      <c r="F307" s="1" t="s">
        <v>275</v>
      </c>
      <c r="G307" s="1" t="s">
        <v>276</v>
      </c>
      <c r="K307" s="1" t="s">
        <v>37</v>
      </c>
      <c r="M307" s="3">
        <v>5.3E-3</v>
      </c>
      <c r="N307" s="3">
        <v>4.0000000000000002E-4</v>
      </c>
      <c r="O307" s="3">
        <v>2.7210000000000001</v>
      </c>
      <c r="P307" s="3">
        <v>0.252</v>
      </c>
      <c r="Q307" s="4">
        <v>0.79</v>
      </c>
      <c r="R307" s="5">
        <v>26</v>
      </c>
      <c r="S307" s="2">
        <v>9.4</v>
      </c>
      <c r="T307" s="2">
        <v>43.5</v>
      </c>
      <c r="U307" s="6"/>
      <c r="V307" s="6"/>
      <c r="W307" s="6" t="s">
        <v>14</v>
      </c>
      <c r="X307" s="1" t="s">
        <v>451</v>
      </c>
      <c r="Y307" s="1" t="s">
        <v>15</v>
      </c>
      <c r="Z307" s="1" t="s">
        <v>284</v>
      </c>
      <c r="AA307" s="6" t="s">
        <v>361</v>
      </c>
    </row>
    <row r="308" spans="1:27" x14ac:dyDescent="0.3">
      <c r="A308" s="1" t="s">
        <v>73</v>
      </c>
      <c r="B308" s="1" t="s">
        <v>271</v>
      </c>
      <c r="D308" s="1" t="s">
        <v>277</v>
      </c>
      <c r="F308" s="1" t="s">
        <v>278</v>
      </c>
      <c r="G308" s="1" t="s">
        <v>279</v>
      </c>
      <c r="K308" s="1" t="s">
        <v>37</v>
      </c>
      <c r="M308" s="3">
        <v>4.3E-3</v>
      </c>
      <c r="N308" s="3">
        <v>5.0000000000000001E-4</v>
      </c>
      <c r="O308" s="3">
        <v>2.7040000000000002</v>
      </c>
      <c r="P308" s="3">
        <v>0.34399999999999997</v>
      </c>
      <c r="Q308" s="4">
        <v>0.76</v>
      </c>
      <c r="R308" s="5">
        <v>36</v>
      </c>
      <c r="S308" s="2">
        <v>3.4</v>
      </c>
      <c r="T308" s="2">
        <v>20.2</v>
      </c>
      <c r="U308" s="6"/>
      <c r="V308" s="6"/>
      <c r="W308" s="6" t="s">
        <v>14</v>
      </c>
      <c r="X308" s="1" t="s">
        <v>451</v>
      </c>
      <c r="Y308" s="1" t="s">
        <v>15</v>
      </c>
      <c r="Z308" s="1" t="s">
        <v>284</v>
      </c>
      <c r="AA308" s="6" t="s">
        <v>361</v>
      </c>
    </row>
    <row r="309" spans="1:27" x14ac:dyDescent="0.3">
      <c r="A309" s="1" t="s">
        <v>73</v>
      </c>
      <c r="B309" s="1" t="s">
        <v>271</v>
      </c>
      <c r="D309" s="1" t="s">
        <v>277</v>
      </c>
      <c r="F309" s="1" t="s">
        <v>278</v>
      </c>
      <c r="K309" s="1" t="s">
        <v>37</v>
      </c>
      <c r="M309" s="3">
        <v>3.0999999999999999E-3</v>
      </c>
      <c r="N309" s="3">
        <v>2.0000000000000001E-4</v>
      </c>
      <c r="O309" s="3">
        <v>2.8010000000000002</v>
      </c>
      <c r="P309" s="3">
        <v>0.20200000000000001</v>
      </c>
      <c r="Q309" s="4">
        <v>0.88</v>
      </c>
      <c r="R309" s="5">
        <v>25</v>
      </c>
      <c r="S309" s="2">
        <v>5.0999999999999996</v>
      </c>
      <c r="T309" s="2">
        <v>21.3</v>
      </c>
      <c r="U309" s="6"/>
      <c r="V309" s="6"/>
      <c r="W309" s="6" t="s">
        <v>9</v>
      </c>
      <c r="X309" s="1" t="s">
        <v>451</v>
      </c>
      <c r="Y309" s="1" t="s">
        <v>15</v>
      </c>
      <c r="Z309" s="1" t="s">
        <v>284</v>
      </c>
      <c r="AA309" s="6" t="s">
        <v>361</v>
      </c>
    </row>
    <row r="310" spans="1:27" x14ac:dyDescent="0.3">
      <c r="A310" s="1" t="s">
        <v>73</v>
      </c>
      <c r="B310" s="1" t="s">
        <v>159</v>
      </c>
      <c r="C310" s="1" t="s">
        <v>160</v>
      </c>
      <c r="D310" s="1" t="s">
        <v>163</v>
      </c>
      <c r="F310" s="1" t="s">
        <v>161</v>
      </c>
      <c r="K310" s="1" t="s">
        <v>37</v>
      </c>
      <c r="M310" s="3">
        <v>5.0000000000000001E-3</v>
      </c>
      <c r="N310" s="3">
        <v>8.0000000000000004E-4</v>
      </c>
      <c r="O310" s="3">
        <v>2.742</v>
      </c>
      <c r="P310" s="3">
        <v>0.222</v>
      </c>
      <c r="Q310" s="4">
        <v>0.87</v>
      </c>
      <c r="R310" s="5">
        <v>25</v>
      </c>
      <c r="S310" s="2">
        <v>2</v>
      </c>
      <c r="T310" s="2">
        <v>16.100000000000001</v>
      </c>
      <c r="U310" s="6"/>
      <c r="V310" s="6"/>
      <c r="W310" s="6" t="s">
        <v>14</v>
      </c>
      <c r="X310" s="1" t="s">
        <v>451</v>
      </c>
      <c r="Y310" s="1" t="s">
        <v>142</v>
      </c>
      <c r="Z310" s="1" t="s">
        <v>284</v>
      </c>
      <c r="AA310" s="6" t="s">
        <v>361</v>
      </c>
    </row>
    <row r="311" spans="1:27" x14ac:dyDescent="0.3">
      <c r="A311" s="1" t="s">
        <v>73</v>
      </c>
      <c r="B311" s="1" t="s">
        <v>159</v>
      </c>
      <c r="C311" s="1" t="s">
        <v>160</v>
      </c>
      <c r="D311" s="1" t="s">
        <v>162</v>
      </c>
      <c r="F311" s="1" t="s">
        <v>164</v>
      </c>
      <c r="K311" s="1" t="s">
        <v>37</v>
      </c>
      <c r="M311" s="3">
        <v>8.6E-3</v>
      </c>
      <c r="N311" s="3">
        <v>1.8E-3</v>
      </c>
      <c r="O311" s="3">
        <v>2.6659999999999999</v>
      </c>
      <c r="P311" s="3">
        <v>0.13</v>
      </c>
      <c r="Q311" s="4">
        <v>0.83</v>
      </c>
      <c r="R311" s="5">
        <v>23</v>
      </c>
      <c r="S311" s="2">
        <v>4.0999999999999996</v>
      </c>
      <c r="T311" s="2">
        <v>15.2</v>
      </c>
      <c r="U311" s="6"/>
      <c r="V311" s="6"/>
      <c r="W311" s="6" t="s">
        <v>9</v>
      </c>
      <c r="X311" s="1" t="s">
        <v>451</v>
      </c>
      <c r="Y311" s="1" t="s">
        <v>104</v>
      </c>
      <c r="Z311" s="1" t="s">
        <v>284</v>
      </c>
      <c r="AA311" s="6" t="s">
        <v>361</v>
      </c>
    </row>
    <row r="312" spans="1:27" x14ac:dyDescent="0.3">
      <c r="A312" s="1" t="s">
        <v>73</v>
      </c>
      <c r="B312" s="1" t="s">
        <v>159</v>
      </c>
      <c r="C312" s="1" t="s">
        <v>160</v>
      </c>
      <c r="D312" s="1" t="s">
        <v>162</v>
      </c>
      <c r="F312" s="1" t="s">
        <v>165</v>
      </c>
      <c r="K312" s="1" t="s">
        <v>37</v>
      </c>
      <c r="M312" s="3">
        <v>1.5E-3</v>
      </c>
      <c r="N312" s="3">
        <v>1E-4</v>
      </c>
      <c r="O312" s="3">
        <v>2.9039999999999999</v>
      </c>
      <c r="P312" s="3">
        <v>0.18</v>
      </c>
      <c r="Q312" s="4">
        <v>0.96</v>
      </c>
      <c r="R312" s="5">
        <v>13</v>
      </c>
      <c r="S312" s="2">
        <v>2.9</v>
      </c>
      <c r="T312" s="2">
        <v>13.3</v>
      </c>
      <c r="U312" s="6"/>
      <c r="V312" s="6"/>
      <c r="W312" s="6" t="s">
        <v>97</v>
      </c>
      <c r="X312" s="1" t="s">
        <v>451</v>
      </c>
      <c r="Y312" s="1" t="s">
        <v>200</v>
      </c>
      <c r="Z312" s="1" t="s">
        <v>284</v>
      </c>
      <c r="AA312" s="6" t="s">
        <v>361</v>
      </c>
    </row>
    <row r="313" spans="1:27" x14ac:dyDescent="0.3">
      <c r="A313" s="1" t="s">
        <v>73</v>
      </c>
      <c r="B313" s="1" t="s">
        <v>159</v>
      </c>
      <c r="C313" s="1" t="s">
        <v>166</v>
      </c>
      <c r="D313" s="1" t="s">
        <v>167</v>
      </c>
      <c r="F313" s="1" t="s">
        <v>168</v>
      </c>
      <c r="G313" s="1" t="s">
        <v>170</v>
      </c>
      <c r="K313" s="1" t="s">
        <v>37</v>
      </c>
      <c r="M313" s="3">
        <v>8.2000000000000007E-3</v>
      </c>
      <c r="N313" s="3">
        <v>2.0999999999999999E-3</v>
      </c>
      <c r="O313" s="3">
        <v>2.8130000000000002</v>
      </c>
      <c r="P313" s="3">
        <v>8.6999999999999994E-2</v>
      </c>
      <c r="Q313" s="4">
        <v>0.94</v>
      </c>
      <c r="R313" s="5">
        <v>11</v>
      </c>
      <c r="S313" s="2">
        <v>3.3</v>
      </c>
      <c r="T313" s="2">
        <v>35.4</v>
      </c>
      <c r="U313" s="6"/>
      <c r="V313" s="6"/>
      <c r="W313" s="6" t="s">
        <v>9</v>
      </c>
      <c r="X313" s="1" t="s">
        <v>451</v>
      </c>
      <c r="Y313" s="1" t="s">
        <v>104</v>
      </c>
      <c r="Z313" s="1" t="s">
        <v>284</v>
      </c>
      <c r="AA313" s="6" t="s">
        <v>361</v>
      </c>
    </row>
    <row r="314" spans="1:27" x14ac:dyDescent="0.3">
      <c r="A314" s="1" t="s">
        <v>73</v>
      </c>
      <c r="B314" s="1" t="s">
        <v>159</v>
      </c>
      <c r="C314" s="1" t="s">
        <v>166</v>
      </c>
      <c r="D314" s="1" t="s">
        <v>171</v>
      </c>
      <c r="F314" s="1" t="s">
        <v>172</v>
      </c>
      <c r="G314" s="1" t="s">
        <v>173</v>
      </c>
      <c r="K314" s="1" t="s">
        <v>37</v>
      </c>
      <c r="M314" s="3">
        <v>6.7000000000000002E-3</v>
      </c>
      <c r="N314" s="3">
        <v>1.1999999999999999E-3</v>
      </c>
      <c r="O314" s="3">
        <v>2.782</v>
      </c>
      <c r="P314" s="3">
        <v>0.24199999999999999</v>
      </c>
      <c r="Q314" s="4">
        <v>0.81</v>
      </c>
      <c r="R314" s="5">
        <v>18</v>
      </c>
      <c r="S314" s="2">
        <v>3.2</v>
      </c>
      <c r="T314" s="2">
        <v>38.1</v>
      </c>
      <c r="U314" s="6"/>
      <c r="V314" s="6"/>
      <c r="W314" s="6" t="s">
        <v>14</v>
      </c>
      <c r="X314" s="1" t="s">
        <v>451</v>
      </c>
      <c r="Y314" s="1" t="s">
        <v>142</v>
      </c>
      <c r="Z314" s="1" t="s">
        <v>284</v>
      </c>
      <c r="AA314" s="6" t="s">
        <v>361</v>
      </c>
    </row>
    <row r="315" spans="1:27" x14ac:dyDescent="0.3">
      <c r="A315" s="1" t="s">
        <v>73</v>
      </c>
      <c r="B315" s="1" t="s">
        <v>159</v>
      </c>
      <c r="C315" s="1" t="s">
        <v>166</v>
      </c>
      <c r="D315" s="1" t="s">
        <v>174</v>
      </c>
      <c r="F315" s="1" t="s">
        <v>175</v>
      </c>
      <c r="G315" s="1" t="s">
        <v>176</v>
      </c>
      <c r="K315" s="1" t="s">
        <v>37</v>
      </c>
      <c r="M315" s="3">
        <v>8.9999999999999993E-3</v>
      </c>
      <c r="N315" s="3">
        <v>4.0000000000000002E-4</v>
      </c>
      <c r="O315" s="3">
        <v>2.7570000000000001</v>
      </c>
      <c r="P315" s="3">
        <v>0.10299999999999999</v>
      </c>
      <c r="Q315" s="4">
        <v>0.94</v>
      </c>
      <c r="R315" s="5">
        <v>48</v>
      </c>
      <c r="S315" s="2">
        <v>2.5</v>
      </c>
      <c r="T315" s="2">
        <v>19.7</v>
      </c>
      <c r="U315" s="6"/>
      <c r="V315" s="6"/>
      <c r="W315" s="6" t="s">
        <v>97</v>
      </c>
      <c r="X315" s="1" t="s">
        <v>451</v>
      </c>
      <c r="Y315" s="1" t="s">
        <v>141</v>
      </c>
      <c r="Z315" s="1" t="s">
        <v>284</v>
      </c>
      <c r="AA315" s="6" t="s">
        <v>361</v>
      </c>
    </row>
    <row r="316" spans="1:27" x14ac:dyDescent="0.3">
      <c r="A316" s="1" t="s">
        <v>73</v>
      </c>
      <c r="B316" s="1" t="s">
        <v>159</v>
      </c>
      <c r="C316" s="1" t="s">
        <v>166</v>
      </c>
      <c r="D316" s="1" t="s">
        <v>174</v>
      </c>
      <c r="F316" s="1" t="s">
        <v>175</v>
      </c>
      <c r="G316" s="1" t="s">
        <v>177</v>
      </c>
      <c r="K316" s="1" t="s">
        <v>37</v>
      </c>
      <c r="M316" s="3">
        <v>7.4000000000000003E-3</v>
      </c>
      <c r="N316" s="3">
        <v>6.9999999999999999E-4</v>
      </c>
      <c r="O316" s="3">
        <v>2.72</v>
      </c>
      <c r="P316" s="3">
        <v>0.35899999999999999</v>
      </c>
      <c r="Q316" s="4">
        <v>0.76</v>
      </c>
      <c r="R316" s="5">
        <v>17</v>
      </c>
      <c r="S316" s="2">
        <v>4.2</v>
      </c>
      <c r="T316" s="2">
        <v>29.3</v>
      </c>
      <c r="U316" s="6"/>
      <c r="V316" s="6"/>
      <c r="W316" s="6" t="s">
        <v>14</v>
      </c>
      <c r="X316" s="1" t="s">
        <v>451</v>
      </c>
      <c r="Y316" s="1" t="s">
        <v>142</v>
      </c>
      <c r="Z316" s="1" t="s">
        <v>284</v>
      </c>
      <c r="AA316" s="6" t="s">
        <v>361</v>
      </c>
    </row>
    <row r="317" spans="1:27" x14ac:dyDescent="0.3">
      <c r="A317" s="1" t="s">
        <v>73</v>
      </c>
      <c r="B317" s="1" t="s">
        <v>159</v>
      </c>
      <c r="C317" s="1" t="s">
        <v>166</v>
      </c>
      <c r="D317" s="1" t="s">
        <v>174</v>
      </c>
      <c r="F317" s="1" t="s">
        <v>178</v>
      </c>
      <c r="G317" s="1" t="s">
        <v>179</v>
      </c>
      <c r="K317" s="1" t="s">
        <v>37</v>
      </c>
      <c r="M317" s="3">
        <v>1.24E-2</v>
      </c>
      <c r="N317" s="3">
        <v>5.9999999999999995E-4</v>
      </c>
      <c r="O317" s="3">
        <v>2.8839999999999999</v>
      </c>
      <c r="P317" s="3">
        <v>0.14199999999999999</v>
      </c>
      <c r="Q317" s="4">
        <v>0.89</v>
      </c>
      <c r="R317" s="5">
        <v>54</v>
      </c>
      <c r="S317" s="2">
        <v>3</v>
      </c>
      <c r="T317" s="2">
        <v>19</v>
      </c>
      <c r="U317" s="6"/>
      <c r="V317" s="6"/>
      <c r="W317" s="6" t="s">
        <v>91</v>
      </c>
      <c r="X317" s="1" t="s">
        <v>451</v>
      </c>
      <c r="Y317" s="1" t="s">
        <v>141</v>
      </c>
      <c r="Z317" s="1" t="s">
        <v>284</v>
      </c>
      <c r="AA317" s="6" t="s">
        <v>361</v>
      </c>
    </row>
    <row r="318" spans="1:27" x14ac:dyDescent="0.3">
      <c r="A318" s="1" t="s">
        <v>73</v>
      </c>
      <c r="B318" s="1" t="s">
        <v>159</v>
      </c>
      <c r="C318" s="1" t="s">
        <v>166</v>
      </c>
      <c r="D318" s="1" t="s">
        <v>180</v>
      </c>
      <c r="F318" s="1" t="s">
        <v>181</v>
      </c>
      <c r="K318" s="1" t="s">
        <v>37</v>
      </c>
      <c r="M318" s="3">
        <v>1.7999999999999999E-2</v>
      </c>
      <c r="N318" s="3">
        <v>1.6000000000000001E-3</v>
      </c>
      <c r="O318" s="3">
        <v>2.2389999999999999</v>
      </c>
      <c r="P318" s="3">
        <v>0.317</v>
      </c>
      <c r="Q318" s="4">
        <v>0.83</v>
      </c>
      <c r="R318" s="5">
        <v>12</v>
      </c>
      <c r="S318" s="2">
        <v>8.5</v>
      </c>
      <c r="T318" s="2">
        <v>19</v>
      </c>
      <c r="U318" s="6"/>
      <c r="V318" s="6"/>
      <c r="W318" s="6" t="s">
        <v>97</v>
      </c>
      <c r="X318" s="1" t="s">
        <v>451</v>
      </c>
      <c r="Y318" s="1" t="s">
        <v>141</v>
      </c>
      <c r="Z318" s="1" t="s">
        <v>284</v>
      </c>
      <c r="AA318" s="6" t="s">
        <v>361</v>
      </c>
    </row>
    <row r="319" spans="1:27" x14ac:dyDescent="0.3">
      <c r="A319" s="1" t="s">
        <v>73</v>
      </c>
      <c r="B319" s="1" t="s">
        <v>159</v>
      </c>
      <c r="C319" s="1" t="s">
        <v>166</v>
      </c>
      <c r="D319" s="1" t="s">
        <v>180</v>
      </c>
      <c r="F319" s="1" t="s">
        <v>182</v>
      </c>
      <c r="K319" s="1" t="s">
        <v>37</v>
      </c>
      <c r="M319" s="3">
        <v>4.4000000000000003E-3</v>
      </c>
      <c r="N319" s="3">
        <v>5.9999999999999995E-4</v>
      </c>
      <c r="O319" s="3">
        <v>3.1240000000000001</v>
      </c>
      <c r="P319" s="3">
        <v>0.29699999999999999</v>
      </c>
      <c r="Q319" s="4">
        <v>0.85</v>
      </c>
      <c r="R319" s="5">
        <v>9</v>
      </c>
      <c r="S319" s="2">
        <v>4.8</v>
      </c>
      <c r="T319" s="2">
        <v>26.6</v>
      </c>
      <c r="U319" s="6"/>
      <c r="V319" s="6"/>
      <c r="W319" s="6" t="s">
        <v>9</v>
      </c>
      <c r="X319" s="1" t="s">
        <v>451</v>
      </c>
      <c r="Y319" s="1" t="s">
        <v>104</v>
      </c>
      <c r="Z319" s="1" t="s">
        <v>284</v>
      </c>
      <c r="AA319" s="6" t="s">
        <v>361</v>
      </c>
    </row>
    <row r="320" spans="1:27" x14ac:dyDescent="0.3">
      <c r="A320" s="1" t="s">
        <v>73</v>
      </c>
      <c r="B320" s="1" t="s">
        <v>159</v>
      </c>
      <c r="C320" s="1" t="s">
        <v>166</v>
      </c>
      <c r="D320" s="1" t="s">
        <v>180</v>
      </c>
      <c r="F320" s="1" t="s">
        <v>182</v>
      </c>
      <c r="K320" s="1" t="s">
        <v>37</v>
      </c>
      <c r="M320" s="3">
        <v>6.0000000000000001E-3</v>
      </c>
      <c r="N320" s="3">
        <v>8.0000000000000004E-4</v>
      </c>
      <c r="O320" s="3">
        <v>2.847</v>
      </c>
      <c r="P320" s="3">
        <v>0.38800000000000001</v>
      </c>
      <c r="Q320" s="4">
        <v>0.9</v>
      </c>
      <c r="R320" s="5">
        <v>24</v>
      </c>
      <c r="S320" s="2">
        <v>3</v>
      </c>
      <c r="T320" s="2">
        <v>37.1</v>
      </c>
      <c r="U320" s="6"/>
      <c r="V320" s="6"/>
      <c r="W320" s="6" t="s">
        <v>14</v>
      </c>
      <c r="X320" s="1" t="s">
        <v>451</v>
      </c>
      <c r="Y320" s="1" t="s">
        <v>142</v>
      </c>
      <c r="Z320" s="1" t="s">
        <v>284</v>
      </c>
      <c r="AA320" s="6" t="s">
        <v>361</v>
      </c>
    </row>
    <row r="321" spans="1:27" x14ac:dyDescent="0.3">
      <c r="A321" s="1" t="s">
        <v>73</v>
      </c>
      <c r="B321" s="1" t="s">
        <v>159</v>
      </c>
      <c r="C321" s="1" t="s">
        <v>166</v>
      </c>
      <c r="D321" s="1" t="s">
        <v>180</v>
      </c>
      <c r="F321" s="1" t="s">
        <v>183</v>
      </c>
      <c r="G321" s="1" t="s">
        <v>184</v>
      </c>
      <c r="K321" s="1" t="s">
        <v>36</v>
      </c>
      <c r="M321" s="3">
        <v>9.7000000000000003E-3</v>
      </c>
      <c r="N321" s="3"/>
      <c r="O321" s="3">
        <v>2.895</v>
      </c>
      <c r="P321" s="3"/>
      <c r="Q321" s="4">
        <v>0.98</v>
      </c>
      <c r="R321" s="5">
        <v>9</v>
      </c>
      <c r="S321" s="2">
        <v>0.9</v>
      </c>
      <c r="T321" s="2">
        <v>16</v>
      </c>
      <c r="U321" s="6"/>
      <c r="V321" s="6"/>
      <c r="W321" s="6" t="s">
        <v>9</v>
      </c>
      <c r="X321" s="1" t="s">
        <v>451</v>
      </c>
      <c r="Y321" s="1" t="s">
        <v>143</v>
      </c>
      <c r="Z321" s="1" t="s">
        <v>284</v>
      </c>
      <c r="AA321" s="6" t="s">
        <v>361</v>
      </c>
    </row>
    <row r="322" spans="1:27" x14ac:dyDescent="0.3">
      <c r="A322" s="1" t="s">
        <v>73</v>
      </c>
      <c r="B322" s="1" t="s">
        <v>159</v>
      </c>
      <c r="C322" s="1" t="s">
        <v>166</v>
      </c>
      <c r="D322" s="1" t="s">
        <v>180</v>
      </c>
      <c r="F322" s="1" t="s">
        <v>185</v>
      </c>
      <c r="G322" s="1" t="s">
        <v>186</v>
      </c>
      <c r="K322" s="1" t="s">
        <v>37</v>
      </c>
      <c r="M322" s="3">
        <v>5.7000000000000002E-3</v>
      </c>
      <c r="N322" s="3">
        <v>1.1999999999999999E-3</v>
      </c>
      <c r="O322" s="3">
        <v>2.831</v>
      </c>
      <c r="P322" s="3">
        <v>0.32200000000000001</v>
      </c>
      <c r="Q322" s="4">
        <v>0.74</v>
      </c>
      <c r="R322" s="5">
        <v>28</v>
      </c>
      <c r="S322" s="2">
        <v>3.9</v>
      </c>
      <c r="T322" s="2">
        <v>23</v>
      </c>
      <c r="U322" s="6"/>
      <c r="V322" s="6"/>
      <c r="W322" s="6" t="s">
        <v>14</v>
      </c>
      <c r="X322" s="1" t="s">
        <v>451</v>
      </c>
      <c r="Y322" s="1" t="s">
        <v>142</v>
      </c>
      <c r="Z322" s="1" t="s">
        <v>284</v>
      </c>
      <c r="AA322" s="6" t="s">
        <v>361</v>
      </c>
    </row>
    <row r="323" spans="1:27" x14ac:dyDescent="0.3">
      <c r="A323" s="1" t="s">
        <v>73</v>
      </c>
      <c r="B323" s="1" t="s">
        <v>159</v>
      </c>
      <c r="C323" s="1" t="s">
        <v>166</v>
      </c>
      <c r="D323" s="1" t="s">
        <v>187</v>
      </c>
      <c r="F323" s="1" t="s">
        <v>188</v>
      </c>
      <c r="G323" s="1" t="s">
        <v>189</v>
      </c>
      <c r="K323" s="1" t="s">
        <v>37</v>
      </c>
      <c r="M323" s="3">
        <v>5.7999999999999996E-3</v>
      </c>
      <c r="N323" s="3">
        <v>2.9999999999999997E-4</v>
      </c>
      <c r="O323" s="3">
        <v>2.8769999999999998</v>
      </c>
      <c r="P323" s="3">
        <v>9.8000000000000004E-2</v>
      </c>
      <c r="Q323" s="4">
        <v>0.95</v>
      </c>
      <c r="R323" s="5">
        <v>44</v>
      </c>
      <c r="S323" s="2">
        <v>2.1</v>
      </c>
      <c r="T323" s="2">
        <v>16.3</v>
      </c>
      <c r="U323" s="6"/>
      <c r="V323" s="6"/>
      <c r="W323" s="6" t="s">
        <v>97</v>
      </c>
      <c r="X323" s="1" t="s">
        <v>451</v>
      </c>
      <c r="Y323" s="1" t="s">
        <v>141</v>
      </c>
      <c r="Z323" s="1" t="s">
        <v>284</v>
      </c>
      <c r="AA323" s="6" t="s">
        <v>361</v>
      </c>
    </row>
    <row r="324" spans="1:27" x14ac:dyDescent="0.3">
      <c r="A324" s="1" t="s">
        <v>73</v>
      </c>
      <c r="B324" s="1" t="s">
        <v>159</v>
      </c>
      <c r="C324" s="1" t="s">
        <v>166</v>
      </c>
      <c r="D324" s="1" t="s">
        <v>187</v>
      </c>
      <c r="F324" s="1" t="s">
        <v>190</v>
      </c>
      <c r="G324" s="1" t="s">
        <v>191</v>
      </c>
      <c r="K324" s="1" t="s">
        <v>37</v>
      </c>
      <c r="M324" s="3">
        <v>6.1000000000000004E-3</v>
      </c>
      <c r="N324" s="3">
        <v>8.9999999999999998E-4</v>
      </c>
      <c r="O324" s="3">
        <v>3.089</v>
      </c>
      <c r="P324" s="3">
        <v>0.41099999999999998</v>
      </c>
      <c r="Q324" s="4">
        <v>0.89</v>
      </c>
      <c r="R324" s="5">
        <v>9</v>
      </c>
      <c r="S324" s="2">
        <v>4.2</v>
      </c>
      <c r="T324" s="2">
        <v>12.5</v>
      </c>
      <c r="U324" s="6"/>
      <c r="V324" s="6"/>
      <c r="W324" s="6" t="s">
        <v>97</v>
      </c>
      <c r="X324" s="1" t="s">
        <v>451</v>
      </c>
      <c r="Y324" s="1" t="s">
        <v>141</v>
      </c>
      <c r="Z324" s="1" t="s">
        <v>284</v>
      </c>
      <c r="AA324" s="6" t="s">
        <v>361</v>
      </c>
    </row>
    <row r="325" spans="1:27" x14ac:dyDescent="0.3">
      <c r="A325" s="1" t="s">
        <v>73</v>
      </c>
      <c r="B325" s="1" t="s">
        <v>159</v>
      </c>
      <c r="C325" s="1" t="s">
        <v>166</v>
      </c>
      <c r="D325" s="1" t="s">
        <v>187</v>
      </c>
      <c r="F325" s="1" t="s">
        <v>193</v>
      </c>
      <c r="G325" s="1" t="s">
        <v>194</v>
      </c>
      <c r="K325" s="1" t="s">
        <v>37</v>
      </c>
      <c r="M325" s="3">
        <v>7.1999999999999998E-3</v>
      </c>
      <c r="N325" s="3">
        <v>2.9999999999999997E-4</v>
      </c>
      <c r="O325" s="3">
        <v>2.6179999999999999</v>
      </c>
      <c r="P325" s="3">
        <v>0.11700000000000001</v>
      </c>
      <c r="Q325" s="4">
        <v>0.94</v>
      </c>
      <c r="R325" s="5">
        <v>37</v>
      </c>
      <c r="S325" s="2">
        <v>6.5</v>
      </c>
      <c r="T325" s="2">
        <v>23.8</v>
      </c>
      <c r="U325" s="6"/>
      <c r="V325" s="6"/>
      <c r="W325" s="6" t="s">
        <v>97</v>
      </c>
      <c r="X325" s="1" t="s">
        <v>451</v>
      </c>
      <c r="Y325" s="1" t="s">
        <v>141</v>
      </c>
      <c r="Z325" s="1" t="s">
        <v>284</v>
      </c>
      <c r="AA325" s="6" t="s">
        <v>361</v>
      </c>
    </row>
    <row r="326" spans="1:27" x14ac:dyDescent="0.3">
      <c r="A326" s="1" t="s">
        <v>73</v>
      </c>
      <c r="B326" s="1" t="s">
        <v>159</v>
      </c>
      <c r="C326" s="1" t="s">
        <v>166</v>
      </c>
      <c r="D326" s="1" t="s">
        <v>187</v>
      </c>
      <c r="F326" s="1" t="s">
        <v>192</v>
      </c>
      <c r="K326" s="1" t="s">
        <v>37</v>
      </c>
      <c r="M326" s="3">
        <v>1.5100000000000001E-2</v>
      </c>
      <c r="N326" s="3">
        <v>1.2999999999999999E-3</v>
      </c>
      <c r="O326" s="3">
        <v>2.3929999999999998</v>
      </c>
      <c r="P326" s="3">
        <v>0.26200000000000001</v>
      </c>
      <c r="Q326" s="4">
        <v>0.83</v>
      </c>
      <c r="R326" s="5">
        <v>19</v>
      </c>
      <c r="S326" s="2">
        <v>6.3</v>
      </c>
      <c r="T326" s="2">
        <v>16.5</v>
      </c>
      <c r="U326" s="6"/>
      <c r="V326" s="6"/>
      <c r="W326" s="6" t="s">
        <v>97</v>
      </c>
      <c r="X326" s="1" t="s">
        <v>451</v>
      </c>
      <c r="Y326" s="1" t="s">
        <v>141</v>
      </c>
      <c r="Z326" s="1" t="s">
        <v>284</v>
      </c>
      <c r="AA326" s="6" t="s">
        <v>361</v>
      </c>
    </row>
    <row r="327" spans="1:27" x14ac:dyDescent="0.3">
      <c r="A327" s="1" t="s">
        <v>73</v>
      </c>
      <c r="B327" s="1" t="s">
        <v>159</v>
      </c>
      <c r="C327" s="1" t="s">
        <v>166</v>
      </c>
      <c r="D327" s="1" t="s">
        <v>187</v>
      </c>
      <c r="F327" s="1" t="s">
        <v>201</v>
      </c>
      <c r="G327" s="1" t="s">
        <v>202</v>
      </c>
      <c r="K327" s="1" t="s">
        <v>37</v>
      </c>
      <c r="M327" s="3">
        <v>4.0000000000000001E-3</v>
      </c>
      <c r="N327" s="3">
        <v>2.9999999999999997E-4</v>
      </c>
      <c r="O327" s="3">
        <v>3.0680000000000001</v>
      </c>
      <c r="P327" s="3">
        <v>0.28499999999999998</v>
      </c>
      <c r="Q327" s="4">
        <v>0.85</v>
      </c>
      <c r="R327" s="5">
        <v>22</v>
      </c>
      <c r="S327" s="2">
        <v>7</v>
      </c>
      <c r="T327" s="2">
        <v>18.899999999999999</v>
      </c>
      <c r="U327" s="6"/>
      <c r="V327" s="6"/>
      <c r="W327" s="6" t="s">
        <v>97</v>
      </c>
      <c r="X327" s="1" t="s">
        <v>451</v>
      </c>
      <c r="Y327" s="1" t="s">
        <v>98</v>
      </c>
      <c r="Z327" s="1" t="s">
        <v>284</v>
      </c>
      <c r="AA327" s="6" t="s">
        <v>361</v>
      </c>
    </row>
    <row r="328" spans="1:27" x14ac:dyDescent="0.3">
      <c r="A328" s="1" t="s">
        <v>73</v>
      </c>
      <c r="B328" s="1" t="s">
        <v>159</v>
      </c>
      <c r="F328" s="1" t="s">
        <v>425</v>
      </c>
      <c r="K328" s="1" t="s">
        <v>37</v>
      </c>
      <c r="L328" s="1" t="s">
        <v>435</v>
      </c>
      <c r="M328" s="1">
        <v>1.4387985782558446E-2</v>
      </c>
      <c r="O328" s="1">
        <v>2.2959999999999998</v>
      </c>
      <c r="Q328" s="4">
        <v>0.87</v>
      </c>
      <c r="R328" s="1">
        <v>17</v>
      </c>
      <c r="S328" s="1">
        <v>1.87</v>
      </c>
      <c r="T328" s="1">
        <v>14</v>
      </c>
      <c r="W328" s="6" t="s">
        <v>436</v>
      </c>
      <c r="X328" s="6" t="s">
        <v>450</v>
      </c>
      <c r="Y328" s="1" t="s">
        <v>437</v>
      </c>
    </row>
    <row r="329" spans="1:27" x14ac:dyDescent="0.3">
      <c r="A329" s="1" t="s">
        <v>73</v>
      </c>
      <c r="B329" s="1" t="s">
        <v>159</v>
      </c>
      <c r="F329" s="1" t="s">
        <v>426</v>
      </c>
      <c r="K329" s="1" t="s">
        <v>37</v>
      </c>
      <c r="L329" s="1" t="s">
        <v>435</v>
      </c>
      <c r="M329" s="1">
        <v>6.0534087475391327E-3</v>
      </c>
      <c r="O329" s="1">
        <v>3.157</v>
      </c>
      <c r="Q329" s="4">
        <v>0.95</v>
      </c>
      <c r="R329" s="1">
        <v>21</v>
      </c>
      <c r="S329" s="1">
        <v>4.55</v>
      </c>
      <c r="T329" s="1">
        <v>20</v>
      </c>
      <c r="W329" s="6" t="s">
        <v>436</v>
      </c>
      <c r="X329" s="6" t="s">
        <v>450</v>
      </c>
      <c r="Y329" s="1" t="s">
        <v>437</v>
      </c>
    </row>
    <row r="330" spans="1:27" ht="14.5" x14ac:dyDescent="0.35">
      <c r="A330" s="1" t="s">
        <v>73</v>
      </c>
      <c r="B330" t="s">
        <v>159</v>
      </c>
      <c r="C330" s="1" t="s">
        <v>166</v>
      </c>
      <c r="D330" s="1" t="s">
        <v>542</v>
      </c>
      <c r="F330" t="s">
        <v>533</v>
      </c>
      <c r="G330"/>
      <c r="K330" s="1" t="s">
        <v>37</v>
      </c>
      <c r="L330" s="1" t="s">
        <v>548</v>
      </c>
      <c r="M330">
        <v>2.3815589136168707E-3</v>
      </c>
      <c r="N330"/>
      <c r="O330">
        <v>3.18</v>
      </c>
      <c r="P330"/>
      <c r="Q330" s="17">
        <v>0.91</v>
      </c>
      <c r="R330">
        <v>13</v>
      </c>
      <c r="S330">
        <v>3</v>
      </c>
      <c r="T330">
        <v>22</v>
      </c>
      <c r="U330" s="6"/>
      <c r="V330" s="6"/>
      <c r="W330" s="6" t="s">
        <v>549</v>
      </c>
      <c r="X330" s="6" t="s">
        <v>550</v>
      </c>
      <c r="Y330" t="s">
        <v>551</v>
      </c>
    </row>
    <row r="331" spans="1:27" x14ac:dyDescent="0.3">
      <c r="A331" s="1" t="s">
        <v>73</v>
      </c>
      <c r="B331" s="1" t="s">
        <v>203</v>
      </c>
      <c r="D331" s="1" t="s">
        <v>204</v>
      </c>
      <c r="F331" s="1" t="s">
        <v>205</v>
      </c>
      <c r="K331" s="1" t="s">
        <v>37</v>
      </c>
      <c r="M331" s="3">
        <v>4.7000000000000002E-3</v>
      </c>
      <c r="N331" s="3">
        <v>4.0000000000000002E-4</v>
      </c>
      <c r="O331" s="3">
        <v>2.7610000000000001</v>
      </c>
      <c r="P331" s="3">
        <v>0.156</v>
      </c>
      <c r="Q331" s="4">
        <v>0.79</v>
      </c>
      <c r="R331" s="5">
        <v>29</v>
      </c>
      <c r="S331" s="2">
        <v>1.4</v>
      </c>
      <c r="T331" s="2">
        <v>6.7</v>
      </c>
      <c r="U331" s="6"/>
      <c r="V331" s="6"/>
      <c r="W331" s="6" t="s">
        <v>9</v>
      </c>
      <c r="X331" s="1" t="s">
        <v>451</v>
      </c>
      <c r="Y331" s="1" t="s">
        <v>15</v>
      </c>
      <c r="Z331" s="1" t="s">
        <v>284</v>
      </c>
      <c r="AA331" s="6" t="s">
        <v>361</v>
      </c>
    </row>
    <row r="332" spans="1:27" x14ac:dyDescent="0.3">
      <c r="A332" s="1" t="s">
        <v>73</v>
      </c>
      <c r="B332" s="1" t="s">
        <v>203</v>
      </c>
      <c r="D332" s="1" t="s">
        <v>204</v>
      </c>
      <c r="F332" s="1" t="s">
        <v>205</v>
      </c>
      <c r="K332" s="1" t="s">
        <v>37</v>
      </c>
      <c r="M332" s="3">
        <v>5.7000000000000002E-3</v>
      </c>
      <c r="N332" s="3">
        <v>2.9999999999999997E-4</v>
      </c>
      <c r="O332" s="3">
        <v>2.4390000000000001</v>
      </c>
      <c r="P332" s="3">
        <v>0.19900000000000001</v>
      </c>
      <c r="Q332" s="4">
        <v>0.92</v>
      </c>
      <c r="R332" s="5">
        <v>25</v>
      </c>
      <c r="S332" s="2">
        <v>1.3</v>
      </c>
      <c r="T332" s="2">
        <v>7</v>
      </c>
      <c r="U332" s="6"/>
      <c r="V332" s="6"/>
      <c r="W332" s="6" t="s">
        <v>14</v>
      </c>
      <c r="X332" s="1" t="s">
        <v>451</v>
      </c>
      <c r="Y332" s="1" t="s">
        <v>15</v>
      </c>
      <c r="Z332" s="1" t="s">
        <v>284</v>
      </c>
      <c r="AA332" s="6" t="s">
        <v>361</v>
      </c>
    </row>
    <row r="333" spans="1:27" x14ac:dyDescent="0.3">
      <c r="A333" s="1" t="s">
        <v>73</v>
      </c>
      <c r="B333" s="1" t="s">
        <v>203</v>
      </c>
      <c r="D333" s="1" t="s">
        <v>204</v>
      </c>
      <c r="F333" s="1" t="s">
        <v>205</v>
      </c>
      <c r="K333" s="1" t="s">
        <v>36</v>
      </c>
      <c r="M333" s="3">
        <v>4.0000000000000001E-3</v>
      </c>
      <c r="N333" s="3">
        <v>5.9999999999999995E-4</v>
      </c>
      <c r="O333" s="3">
        <v>2.4870000000000001</v>
      </c>
      <c r="P333" s="3">
        <v>0.122</v>
      </c>
      <c r="Q333" s="4">
        <v>0.98</v>
      </c>
      <c r="R333" s="5">
        <v>10</v>
      </c>
      <c r="S333" s="2">
        <v>0.7</v>
      </c>
      <c r="T333" s="2">
        <v>6.9</v>
      </c>
      <c r="U333" s="6">
        <v>1.7</v>
      </c>
      <c r="V333" s="6">
        <v>1</v>
      </c>
      <c r="W333" s="6" t="s">
        <v>9</v>
      </c>
      <c r="X333" s="1" t="s">
        <v>451</v>
      </c>
      <c r="Y333" s="1" t="s">
        <v>52</v>
      </c>
      <c r="Z333" s="1" t="s">
        <v>284</v>
      </c>
      <c r="AA333" s="6" t="s">
        <v>361</v>
      </c>
    </row>
    <row r="334" spans="1:27" x14ac:dyDescent="0.3">
      <c r="A334" s="1" t="s">
        <v>73</v>
      </c>
      <c r="B334" s="1" t="s">
        <v>203</v>
      </c>
      <c r="D334" s="1" t="s">
        <v>206</v>
      </c>
      <c r="F334" s="1" t="s">
        <v>207</v>
      </c>
      <c r="K334" s="1" t="s">
        <v>36</v>
      </c>
      <c r="M334" s="3">
        <v>6.1999999999999998E-3</v>
      </c>
      <c r="N334" s="3">
        <v>1.9E-3</v>
      </c>
      <c r="O334" s="3">
        <v>2.7240000000000002</v>
      </c>
      <c r="P334" s="3">
        <v>0.21299999999999999</v>
      </c>
      <c r="Q334" s="4">
        <v>0.95</v>
      </c>
      <c r="R334" s="5">
        <v>10</v>
      </c>
      <c r="S334" s="2">
        <v>0.7</v>
      </c>
      <c r="T334" s="2">
        <v>8.6</v>
      </c>
      <c r="U334" s="6">
        <v>3.9</v>
      </c>
      <c r="V334" s="6">
        <v>1.3</v>
      </c>
      <c r="W334" s="6" t="s">
        <v>9</v>
      </c>
      <c r="X334" s="1" t="s">
        <v>451</v>
      </c>
      <c r="Y334" s="1" t="s">
        <v>52</v>
      </c>
      <c r="Z334" s="1" t="s">
        <v>284</v>
      </c>
      <c r="AA334" s="6" t="s">
        <v>361</v>
      </c>
    </row>
    <row r="335" spans="1:27" x14ac:dyDescent="0.3">
      <c r="A335" s="1" t="s">
        <v>73</v>
      </c>
      <c r="B335" s="1" t="s">
        <v>203</v>
      </c>
      <c r="D335" s="1" t="s">
        <v>238</v>
      </c>
      <c r="F335" s="1" t="s">
        <v>208</v>
      </c>
      <c r="K335" s="1" t="s">
        <v>37</v>
      </c>
      <c r="M335" s="3">
        <v>2.5000000000000001E-3</v>
      </c>
      <c r="N335" s="3">
        <v>2.9999999999999997E-4</v>
      </c>
      <c r="O335" s="3">
        <v>2.7440000000000002</v>
      </c>
      <c r="P335" s="3">
        <v>0.1</v>
      </c>
      <c r="Q335" s="4">
        <v>0.88</v>
      </c>
      <c r="R335" s="5">
        <v>34</v>
      </c>
      <c r="S335" s="2">
        <v>2.2000000000000002</v>
      </c>
      <c r="T335" s="2">
        <v>7.2</v>
      </c>
      <c r="U335" s="6"/>
      <c r="V335" s="6"/>
      <c r="W335" s="6" t="s">
        <v>14</v>
      </c>
      <c r="X335" s="1" t="s">
        <v>451</v>
      </c>
      <c r="Y335" s="1" t="s">
        <v>15</v>
      </c>
      <c r="Z335" s="1" t="s">
        <v>284</v>
      </c>
      <c r="AA335" s="6" t="s">
        <v>361</v>
      </c>
    </row>
    <row r="336" spans="1:27" x14ac:dyDescent="0.3">
      <c r="A336" s="1" t="s">
        <v>73</v>
      </c>
      <c r="B336" s="1" t="s">
        <v>203</v>
      </c>
      <c r="D336" s="1" t="s">
        <v>238</v>
      </c>
      <c r="F336" s="1" t="s">
        <v>208</v>
      </c>
      <c r="K336" s="1" t="s">
        <v>36</v>
      </c>
      <c r="M336" s="3">
        <v>3.0000000000000001E-3</v>
      </c>
      <c r="N336" s="3">
        <v>2.9999999999999997E-4</v>
      </c>
      <c r="O336" s="3">
        <v>2.694</v>
      </c>
      <c r="P336" s="3">
        <v>6.5000000000000002E-2</v>
      </c>
      <c r="Q336" s="4">
        <v>1</v>
      </c>
      <c r="R336" s="5">
        <v>9</v>
      </c>
      <c r="S336" s="2">
        <v>0.6</v>
      </c>
      <c r="T336" s="2">
        <v>7.7</v>
      </c>
      <c r="U336" s="6">
        <v>4.9000000000000004</v>
      </c>
      <c r="V336" s="6">
        <v>0.7</v>
      </c>
      <c r="W336" s="6" t="s">
        <v>9</v>
      </c>
      <c r="X336" s="1" t="s">
        <v>451</v>
      </c>
      <c r="Y336" s="1" t="s">
        <v>52</v>
      </c>
      <c r="Z336" s="1" t="s">
        <v>284</v>
      </c>
      <c r="AA336" s="6" t="s">
        <v>361</v>
      </c>
    </row>
    <row r="337" spans="1:27" x14ac:dyDescent="0.3">
      <c r="A337" s="1" t="s">
        <v>73</v>
      </c>
      <c r="B337" s="1" t="s">
        <v>203</v>
      </c>
      <c r="D337" s="1" t="s">
        <v>209</v>
      </c>
      <c r="F337" s="1" t="s">
        <v>210</v>
      </c>
      <c r="G337" s="1" t="s">
        <v>211</v>
      </c>
      <c r="K337" s="1" t="s">
        <v>36</v>
      </c>
      <c r="M337" s="3">
        <v>7.1000000000000004E-3</v>
      </c>
      <c r="N337" s="3">
        <v>8.0000000000000004E-4</v>
      </c>
      <c r="O337" s="3">
        <v>2.6779999999999999</v>
      </c>
      <c r="P337" s="3">
        <v>8.4000000000000005E-2</v>
      </c>
      <c r="Q337" s="4">
        <v>0.99</v>
      </c>
      <c r="R337" s="5">
        <v>9</v>
      </c>
      <c r="S337" s="2">
        <v>0.8</v>
      </c>
      <c r="T337" s="2">
        <v>6.5</v>
      </c>
      <c r="U337" s="6">
        <v>4.2</v>
      </c>
      <c r="V337" s="6">
        <v>0.4</v>
      </c>
      <c r="W337" s="6" t="s">
        <v>9</v>
      </c>
      <c r="X337" s="1" t="s">
        <v>451</v>
      </c>
      <c r="Y337" s="1" t="s">
        <v>52</v>
      </c>
      <c r="Z337" s="1" t="s">
        <v>284</v>
      </c>
      <c r="AA337" s="6" t="s">
        <v>361</v>
      </c>
    </row>
    <row r="338" spans="1:27" x14ac:dyDescent="0.3">
      <c r="A338" s="1" t="s">
        <v>73</v>
      </c>
      <c r="B338" s="1" t="s">
        <v>203</v>
      </c>
      <c r="D338" s="1" t="s">
        <v>209</v>
      </c>
      <c r="F338" s="1" t="s">
        <v>210</v>
      </c>
      <c r="K338" s="1" t="s">
        <v>37</v>
      </c>
      <c r="M338" s="3">
        <v>4.0000000000000001E-3</v>
      </c>
      <c r="N338" s="3">
        <v>5.0000000000000001E-4</v>
      </c>
      <c r="O338" s="3">
        <v>2.9750000000000001</v>
      </c>
      <c r="P338" s="3">
        <v>0.17799999999999999</v>
      </c>
      <c r="Q338" s="4">
        <v>0.88</v>
      </c>
      <c r="R338" s="5">
        <v>62</v>
      </c>
      <c r="S338" s="2">
        <v>1</v>
      </c>
      <c r="T338" s="2">
        <v>6.9</v>
      </c>
      <c r="U338" s="6"/>
      <c r="V338" s="6"/>
      <c r="W338" s="6" t="s">
        <v>14</v>
      </c>
      <c r="X338" s="1" t="s">
        <v>451</v>
      </c>
      <c r="Y338" s="1" t="s">
        <v>15</v>
      </c>
      <c r="Z338" s="1" t="s">
        <v>284</v>
      </c>
      <c r="AA338" s="6" t="s">
        <v>361</v>
      </c>
    </row>
    <row r="339" spans="1:27" x14ac:dyDescent="0.3">
      <c r="A339" s="1" t="s">
        <v>73</v>
      </c>
      <c r="B339" s="1" t="s">
        <v>203</v>
      </c>
      <c r="D339" s="1" t="s">
        <v>212</v>
      </c>
      <c r="F339" s="1" t="s">
        <v>213</v>
      </c>
      <c r="K339" s="1" t="s">
        <v>37</v>
      </c>
      <c r="M339" s="3">
        <v>5.4999999999999997E-3</v>
      </c>
      <c r="N339" s="3">
        <v>2.9999999999999997E-4</v>
      </c>
      <c r="O339" s="3">
        <v>2.633</v>
      </c>
      <c r="P339" s="3">
        <v>0.126</v>
      </c>
      <c r="Q339" s="4">
        <v>0.96</v>
      </c>
      <c r="R339" s="5">
        <v>38</v>
      </c>
      <c r="S339" s="2">
        <v>0.9</v>
      </c>
      <c r="T339" s="2">
        <v>6.2</v>
      </c>
      <c r="U339" s="6"/>
      <c r="V339" s="6"/>
      <c r="W339" s="6" t="s">
        <v>14</v>
      </c>
      <c r="X339" s="1" t="s">
        <v>451</v>
      </c>
      <c r="Y339" s="1" t="s">
        <v>15</v>
      </c>
      <c r="Z339" s="1" t="s">
        <v>284</v>
      </c>
      <c r="AA339" s="6" t="s">
        <v>361</v>
      </c>
    </row>
    <row r="340" spans="1:27" x14ac:dyDescent="0.3">
      <c r="A340" s="1" t="s">
        <v>73</v>
      </c>
      <c r="B340" s="1" t="s">
        <v>203</v>
      </c>
      <c r="D340" s="1" t="s">
        <v>214</v>
      </c>
      <c r="F340" s="1" t="s">
        <v>215</v>
      </c>
      <c r="G340" s="1" t="s">
        <v>216</v>
      </c>
      <c r="K340" s="1" t="s">
        <v>37</v>
      </c>
      <c r="M340" s="3">
        <v>1.41E-2</v>
      </c>
      <c r="N340" s="3"/>
      <c r="O340" s="3">
        <v>2.62</v>
      </c>
      <c r="P340" s="3"/>
      <c r="Q340" s="4">
        <v>0.89</v>
      </c>
      <c r="R340" s="5">
        <v>289</v>
      </c>
      <c r="S340" s="2"/>
      <c r="T340" s="2"/>
      <c r="U340" s="6"/>
      <c r="V340" s="6"/>
      <c r="W340" s="6" t="s">
        <v>9</v>
      </c>
      <c r="X340" s="1" t="s">
        <v>451</v>
      </c>
      <c r="Y340" s="1" t="s">
        <v>239</v>
      </c>
      <c r="Z340" s="1" t="s">
        <v>284</v>
      </c>
      <c r="AA340" s="6" t="s">
        <v>361</v>
      </c>
    </row>
    <row r="341" spans="1:27" x14ac:dyDescent="0.3">
      <c r="A341" s="1" t="s">
        <v>73</v>
      </c>
      <c r="B341" s="1" t="s">
        <v>203</v>
      </c>
      <c r="D341" s="1" t="s">
        <v>214</v>
      </c>
      <c r="F341" s="1" t="s">
        <v>215</v>
      </c>
      <c r="K341" s="1" t="s">
        <v>36</v>
      </c>
      <c r="M341" s="3">
        <v>1.9400000000000001E-2</v>
      </c>
      <c r="N341" s="3">
        <v>1.4E-3</v>
      </c>
      <c r="O341" s="3">
        <v>2.8530000000000002</v>
      </c>
      <c r="P341" s="3">
        <v>5.8000000000000003E-2</v>
      </c>
      <c r="Q341" s="4">
        <v>1</v>
      </c>
      <c r="R341" s="5">
        <v>12</v>
      </c>
      <c r="S341" s="2">
        <v>0.6</v>
      </c>
      <c r="T341" s="2">
        <v>9.9</v>
      </c>
      <c r="U341" s="6">
        <v>2.6</v>
      </c>
      <c r="V341" s="6">
        <v>0.5</v>
      </c>
      <c r="W341" s="6" t="s">
        <v>9</v>
      </c>
      <c r="X341" s="1" t="s">
        <v>451</v>
      </c>
      <c r="Y341" s="1" t="s">
        <v>10</v>
      </c>
      <c r="Z341" s="1" t="s">
        <v>284</v>
      </c>
      <c r="AA341" s="6" t="s">
        <v>361</v>
      </c>
    </row>
    <row r="342" spans="1:27" x14ac:dyDescent="0.3">
      <c r="A342" s="1" t="s">
        <v>73</v>
      </c>
      <c r="B342" s="1" t="s">
        <v>203</v>
      </c>
      <c r="D342" s="1" t="s">
        <v>217</v>
      </c>
      <c r="F342" s="1" t="s">
        <v>218</v>
      </c>
      <c r="G342" s="1" t="s">
        <v>219</v>
      </c>
      <c r="K342" s="1" t="s">
        <v>37</v>
      </c>
      <c r="M342" s="3">
        <v>6.1000000000000004E-3</v>
      </c>
      <c r="N342" s="3">
        <v>5.0000000000000001E-4</v>
      </c>
      <c r="O342" s="3">
        <v>3</v>
      </c>
      <c r="P342" s="3">
        <v>0.42</v>
      </c>
      <c r="Q342" s="4">
        <v>0.94</v>
      </c>
      <c r="R342" s="5">
        <v>22</v>
      </c>
      <c r="S342" s="2">
        <v>4.2</v>
      </c>
      <c r="T342" s="2">
        <v>26.1</v>
      </c>
      <c r="U342" s="6"/>
      <c r="V342" s="6"/>
      <c r="W342" s="6" t="s">
        <v>9</v>
      </c>
      <c r="X342" s="1" t="s">
        <v>451</v>
      </c>
      <c r="Y342" s="1" t="s">
        <v>15</v>
      </c>
      <c r="Z342" s="1" t="s">
        <v>284</v>
      </c>
      <c r="AA342" s="6" t="s">
        <v>361</v>
      </c>
    </row>
    <row r="343" spans="1:27" x14ac:dyDescent="0.3">
      <c r="A343" s="1" t="s">
        <v>73</v>
      </c>
      <c r="B343" s="1" t="s">
        <v>203</v>
      </c>
      <c r="D343" s="1" t="s">
        <v>217</v>
      </c>
      <c r="F343" s="1" t="s">
        <v>218</v>
      </c>
      <c r="G343" s="1" t="s">
        <v>220</v>
      </c>
      <c r="K343" s="1" t="s">
        <v>37</v>
      </c>
      <c r="M343" s="3">
        <v>1.29E-2</v>
      </c>
      <c r="N343" s="3"/>
      <c r="O343" s="3">
        <v>2.8</v>
      </c>
      <c r="P343" s="3"/>
      <c r="Q343" s="4">
        <v>0.97</v>
      </c>
      <c r="R343" s="5"/>
      <c r="S343" s="2"/>
      <c r="T343" s="2"/>
      <c r="U343" s="6"/>
      <c r="V343" s="6"/>
      <c r="W343" s="6" t="s">
        <v>23</v>
      </c>
      <c r="X343" s="1" t="s">
        <v>451</v>
      </c>
      <c r="Y343" s="1" t="s">
        <v>240</v>
      </c>
      <c r="Z343" s="1" t="s">
        <v>284</v>
      </c>
      <c r="AA343" s="6" t="s">
        <v>361</v>
      </c>
    </row>
    <row r="344" spans="1:27" x14ac:dyDescent="0.3">
      <c r="A344" s="1" t="s">
        <v>73</v>
      </c>
      <c r="B344" s="1" t="s">
        <v>203</v>
      </c>
      <c r="D344" s="1" t="s">
        <v>217</v>
      </c>
      <c r="F344" s="1" t="s">
        <v>218</v>
      </c>
      <c r="G344" s="1" t="s">
        <v>220</v>
      </c>
      <c r="K344" s="1" t="s">
        <v>37</v>
      </c>
      <c r="M344" s="3">
        <v>1.01E-2</v>
      </c>
      <c r="N344" s="3"/>
      <c r="O344" s="3">
        <v>2.9</v>
      </c>
      <c r="P344" s="3"/>
      <c r="Q344" s="4">
        <v>0.97</v>
      </c>
      <c r="R344" s="5"/>
      <c r="S344" s="2"/>
      <c r="T344" s="2"/>
      <c r="U344" s="6"/>
      <c r="V344" s="6"/>
      <c r="W344" s="6" t="s">
        <v>23</v>
      </c>
      <c r="X344" s="1" t="s">
        <v>451</v>
      </c>
      <c r="Y344" s="1" t="s">
        <v>240</v>
      </c>
      <c r="Z344" s="1" t="s">
        <v>284</v>
      </c>
      <c r="AA344" s="6" t="s">
        <v>361</v>
      </c>
    </row>
    <row r="345" spans="1:27" x14ac:dyDescent="0.3">
      <c r="A345" s="1" t="s">
        <v>73</v>
      </c>
      <c r="B345" s="1" t="s">
        <v>203</v>
      </c>
      <c r="D345" s="1" t="s">
        <v>217</v>
      </c>
      <c r="F345" s="1" t="s">
        <v>218</v>
      </c>
      <c r="K345" s="1" t="s">
        <v>37</v>
      </c>
      <c r="M345" s="3">
        <v>1.9E-3</v>
      </c>
      <c r="N345" s="3">
        <v>1E-4</v>
      </c>
      <c r="O345" s="3">
        <v>3.2320000000000002</v>
      </c>
      <c r="P345" s="3">
        <v>0.16</v>
      </c>
      <c r="Q345" s="4">
        <v>0.89</v>
      </c>
      <c r="R345" s="5">
        <v>52</v>
      </c>
      <c r="S345" s="2">
        <v>3.4</v>
      </c>
      <c r="T345" s="2">
        <v>17</v>
      </c>
      <c r="U345" s="6"/>
      <c r="V345" s="6"/>
      <c r="W345" s="6" t="s">
        <v>91</v>
      </c>
      <c r="X345" s="1" t="s">
        <v>451</v>
      </c>
      <c r="Y345" s="1" t="s">
        <v>98</v>
      </c>
      <c r="Z345" s="1" t="s">
        <v>284</v>
      </c>
      <c r="AA345" s="6" t="s">
        <v>361</v>
      </c>
    </row>
    <row r="346" spans="1:27" x14ac:dyDescent="0.3">
      <c r="A346" s="1" t="s">
        <v>73</v>
      </c>
      <c r="B346" s="1" t="s">
        <v>203</v>
      </c>
      <c r="D346" s="1" t="s">
        <v>217</v>
      </c>
      <c r="F346" s="1" t="s">
        <v>221</v>
      </c>
      <c r="G346" s="1" t="s">
        <v>222</v>
      </c>
      <c r="K346" s="1" t="s">
        <v>37</v>
      </c>
      <c r="M346" s="3">
        <v>1.44E-2</v>
      </c>
      <c r="N346" s="3">
        <v>1.5E-3</v>
      </c>
      <c r="O346" s="3">
        <v>2.6880000000000002</v>
      </c>
      <c r="P346" s="3">
        <v>0.32200000000000001</v>
      </c>
      <c r="Q346" s="4">
        <v>0.76</v>
      </c>
      <c r="R346" s="5">
        <v>21</v>
      </c>
      <c r="S346" s="2">
        <v>3</v>
      </c>
      <c r="T346" s="2">
        <v>11.2</v>
      </c>
      <c r="U346" s="6"/>
      <c r="V346" s="6"/>
      <c r="W346" s="6" t="s">
        <v>14</v>
      </c>
      <c r="X346" s="1" t="s">
        <v>451</v>
      </c>
      <c r="Y346" s="1" t="s">
        <v>15</v>
      </c>
      <c r="Z346" s="1" t="s">
        <v>284</v>
      </c>
      <c r="AA346" s="6" t="s">
        <v>361</v>
      </c>
    </row>
    <row r="347" spans="1:27" x14ac:dyDescent="0.3">
      <c r="A347" s="1" t="s">
        <v>73</v>
      </c>
      <c r="B347" s="1" t="s">
        <v>203</v>
      </c>
      <c r="D347" s="1" t="s">
        <v>217</v>
      </c>
      <c r="F347" s="1" t="s">
        <v>223</v>
      </c>
      <c r="G347" s="1" t="s">
        <v>224</v>
      </c>
      <c r="K347" s="1" t="s">
        <v>36</v>
      </c>
      <c r="M347" s="3">
        <v>7.9000000000000008E-3</v>
      </c>
      <c r="N347" s="3">
        <v>6.9999999999999999E-4</v>
      </c>
      <c r="O347" s="3">
        <v>2.8439999999999999</v>
      </c>
      <c r="P347" s="3">
        <v>0.05</v>
      </c>
      <c r="Q347" s="4">
        <v>1</v>
      </c>
      <c r="R347" s="5">
        <v>11</v>
      </c>
      <c r="S347" s="2">
        <v>1.3</v>
      </c>
      <c r="T347" s="2">
        <v>18.7</v>
      </c>
      <c r="U347" s="6">
        <v>3.9</v>
      </c>
      <c r="V347" s="6">
        <v>0.9</v>
      </c>
      <c r="W347" s="6" t="s">
        <v>9</v>
      </c>
      <c r="X347" s="1" t="s">
        <v>451</v>
      </c>
      <c r="Y347" s="1" t="s">
        <v>52</v>
      </c>
      <c r="Z347" s="1" t="s">
        <v>284</v>
      </c>
      <c r="AA347" s="6" t="s">
        <v>361</v>
      </c>
    </row>
    <row r="348" spans="1:27" x14ac:dyDescent="0.3">
      <c r="A348" s="1" t="s">
        <v>73</v>
      </c>
      <c r="B348" s="1" t="s">
        <v>203</v>
      </c>
      <c r="D348" s="1" t="s">
        <v>217</v>
      </c>
      <c r="F348" s="1" t="s">
        <v>223</v>
      </c>
      <c r="G348" s="1" t="s">
        <v>224</v>
      </c>
      <c r="K348" s="1" t="s">
        <v>37</v>
      </c>
      <c r="M348" s="3">
        <v>9.4000000000000004E-3</v>
      </c>
      <c r="N348" s="3">
        <v>1.1000000000000001E-3</v>
      </c>
      <c r="O348" s="3">
        <v>2.766</v>
      </c>
      <c r="P348" s="3">
        <v>0.26200000000000001</v>
      </c>
      <c r="Q348" s="4">
        <v>0.86</v>
      </c>
      <c r="R348" s="5">
        <v>31</v>
      </c>
      <c r="S348" s="2">
        <v>3.3</v>
      </c>
      <c r="T348" s="2">
        <v>19.5</v>
      </c>
      <c r="U348" s="6"/>
      <c r="V348" s="6"/>
      <c r="W348" s="6" t="s">
        <v>14</v>
      </c>
      <c r="X348" s="1" t="s">
        <v>451</v>
      </c>
      <c r="Y348" s="1" t="s">
        <v>15</v>
      </c>
      <c r="Z348" s="1" t="s">
        <v>284</v>
      </c>
      <c r="AA348" s="6" t="s">
        <v>361</v>
      </c>
    </row>
    <row r="349" spans="1:27" x14ac:dyDescent="0.3">
      <c r="A349" s="1" t="s">
        <v>73</v>
      </c>
      <c r="B349" s="1" t="s">
        <v>203</v>
      </c>
      <c r="D349" s="1" t="s">
        <v>217</v>
      </c>
      <c r="F349" s="1" t="s">
        <v>225</v>
      </c>
      <c r="G349" s="1" t="s">
        <v>226</v>
      </c>
      <c r="K349" s="1" t="s">
        <v>37</v>
      </c>
      <c r="M349" s="3">
        <v>3.0000000000000001E-3</v>
      </c>
      <c r="N349" s="3">
        <v>2.9999999999999997E-4</v>
      </c>
      <c r="O349" s="3">
        <v>3.2320000000000002</v>
      </c>
      <c r="P349" s="3">
        <v>0.185</v>
      </c>
      <c r="Q349" s="4">
        <v>0.96</v>
      </c>
      <c r="R349" s="5">
        <v>18</v>
      </c>
      <c r="S349" s="2">
        <v>5.8</v>
      </c>
      <c r="T349" s="2">
        <v>20</v>
      </c>
      <c r="U349" s="6"/>
      <c r="V349" s="6"/>
      <c r="W349" s="6" t="s">
        <v>9</v>
      </c>
      <c r="X349" s="1" t="s">
        <v>451</v>
      </c>
      <c r="Y349" s="1" t="s">
        <v>15</v>
      </c>
      <c r="Z349" s="1" t="s">
        <v>284</v>
      </c>
      <c r="AA349" s="6" t="s">
        <v>361</v>
      </c>
    </row>
    <row r="350" spans="1:27" x14ac:dyDescent="0.3">
      <c r="A350" s="1" t="s">
        <v>73</v>
      </c>
      <c r="B350" s="1" t="s">
        <v>203</v>
      </c>
      <c r="D350" s="1" t="s">
        <v>217</v>
      </c>
      <c r="F350" s="1" t="s">
        <v>227</v>
      </c>
      <c r="G350" s="1" t="s">
        <v>228</v>
      </c>
      <c r="K350" s="1" t="s">
        <v>37</v>
      </c>
      <c r="M350" s="3">
        <v>4.2900000000000001E-2</v>
      </c>
      <c r="N350" s="3">
        <v>5.1000000000000004E-3</v>
      </c>
      <c r="O350" s="3">
        <v>1.95</v>
      </c>
      <c r="P350" s="3">
        <v>0.35599999999999998</v>
      </c>
      <c r="Q350" s="4">
        <v>0.67</v>
      </c>
      <c r="R350" s="5">
        <v>17</v>
      </c>
      <c r="S350" s="2">
        <v>3.8</v>
      </c>
      <c r="T350" s="2">
        <v>14</v>
      </c>
      <c r="U350" s="6"/>
      <c r="V350" s="6"/>
      <c r="W350" s="6" t="s">
        <v>91</v>
      </c>
      <c r="X350" s="1" t="s">
        <v>451</v>
      </c>
      <c r="Y350" s="1" t="s">
        <v>98</v>
      </c>
      <c r="Z350" s="1" t="s">
        <v>284</v>
      </c>
      <c r="AA350" s="6" t="s">
        <v>361</v>
      </c>
    </row>
    <row r="351" spans="1:27" x14ac:dyDescent="0.3">
      <c r="A351" s="1" t="s">
        <v>73</v>
      </c>
      <c r="B351" s="1" t="s">
        <v>203</v>
      </c>
      <c r="D351" s="1" t="s">
        <v>217</v>
      </c>
      <c r="F351" s="1" t="s">
        <v>229</v>
      </c>
      <c r="G351" s="1" t="s">
        <v>230</v>
      </c>
      <c r="K351" s="1" t="s">
        <v>37</v>
      </c>
      <c r="M351" s="3">
        <v>9.2999999999999992E-3</v>
      </c>
      <c r="N351" s="3">
        <v>5.9999999999999995E-4</v>
      </c>
      <c r="O351" s="3">
        <v>2.7970000000000002</v>
      </c>
      <c r="P351" s="3">
        <v>0.16700000000000001</v>
      </c>
      <c r="Q351" s="4">
        <v>0.82</v>
      </c>
      <c r="R351" s="5">
        <v>63</v>
      </c>
      <c r="S351" s="2">
        <v>4</v>
      </c>
      <c r="T351" s="2">
        <v>22</v>
      </c>
      <c r="U351" s="6"/>
      <c r="V351" s="6"/>
      <c r="W351" s="6" t="s">
        <v>91</v>
      </c>
      <c r="X351" s="1" t="s">
        <v>451</v>
      </c>
      <c r="Y351" s="1" t="s">
        <v>98</v>
      </c>
      <c r="Z351" s="1" t="s">
        <v>284</v>
      </c>
      <c r="AA351" s="6" t="s">
        <v>361</v>
      </c>
    </row>
    <row r="352" spans="1:27" x14ac:dyDescent="0.3">
      <c r="A352" s="1" t="s">
        <v>73</v>
      </c>
      <c r="B352" s="1" t="s">
        <v>203</v>
      </c>
      <c r="D352" s="1" t="s">
        <v>217</v>
      </c>
      <c r="F352" s="1" t="s">
        <v>231</v>
      </c>
      <c r="G352" s="1" t="s">
        <v>232</v>
      </c>
      <c r="K352" s="1" t="s">
        <v>37</v>
      </c>
      <c r="M352" s="3">
        <v>3.0000000000000001E-3</v>
      </c>
      <c r="N352" s="3">
        <v>1E-4</v>
      </c>
      <c r="O352" s="3">
        <v>3.02</v>
      </c>
      <c r="P352" s="3">
        <v>0.14299999999999999</v>
      </c>
      <c r="Q352" s="4">
        <v>0.85</v>
      </c>
      <c r="R352" s="5">
        <v>83</v>
      </c>
      <c r="S352" s="2">
        <v>3.7</v>
      </c>
      <c r="T352" s="2">
        <v>10.199999999999999</v>
      </c>
      <c r="U352" s="6"/>
      <c r="V352" s="6"/>
      <c r="W352" s="6" t="s">
        <v>91</v>
      </c>
      <c r="X352" s="1" t="s">
        <v>451</v>
      </c>
      <c r="Y352" s="1" t="s">
        <v>98</v>
      </c>
      <c r="Z352" s="1" t="s">
        <v>284</v>
      </c>
      <c r="AA352" s="6" t="s">
        <v>361</v>
      </c>
    </row>
    <row r="353" spans="1:27" x14ac:dyDescent="0.3">
      <c r="A353" s="1" t="s">
        <v>73</v>
      </c>
      <c r="B353" s="1" t="s">
        <v>203</v>
      </c>
      <c r="D353" s="1" t="s">
        <v>217</v>
      </c>
      <c r="F353" s="1" t="s">
        <v>231</v>
      </c>
      <c r="K353" s="1" t="s">
        <v>37</v>
      </c>
      <c r="M353" s="3">
        <v>3.7000000000000002E-3</v>
      </c>
      <c r="N353" s="3">
        <v>2.9999999999999997E-4</v>
      </c>
      <c r="O353" s="3">
        <v>3.08</v>
      </c>
      <c r="P353" s="3">
        <v>0.15</v>
      </c>
      <c r="Q353" s="4">
        <v>0.81</v>
      </c>
      <c r="R353" s="5">
        <v>15</v>
      </c>
      <c r="S353" s="2">
        <v>2.5</v>
      </c>
      <c r="T353" s="2">
        <v>11.5</v>
      </c>
      <c r="U353" s="6"/>
      <c r="V353" s="6"/>
      <c r="W353" s="6" t="s">
        <v>9</v>
      </c>
      <c r="X353" s="1" t="s">
        <v>451</v>
      </c>
      <c r="Y353" s="1" t="s">
        <v>241</v>
      </c>
      <c r="Z353" s="1" t="s">
        <v>284</v>
      </c>
      <c r="AA353" s="6" t="s">
        <v>361</v>
      </c>
    </row>
    <row r="354" spans="1:27" x14ac:dyDescent="0.3">
      <c r="A354" s="1" t="s">
        <v>73</v>
      </c>
      <c r="B354" s="1" t="s">
        <v>203</v>
      </c>
      <c r="D354" s="1" t="s">
        <v>217</v>
      </c>
      <c r="F354" s="1" t="s">
        <v>233</v>
      </c>
      <c r="G354" s="1" t="s">
        <v>234</v>
      </c>
      <c r="K354" s="1" t="s">
        <v>37</v>
      </c>
      <c r="M354" s="3">
        <v>3.3999999999999998E-3</v>
      </c>
      <c r="N354" s="3">
        <v>2.9999999999999997E-4</v>
      </c>
      <c r="O354" s="3">
        <v>3.1230000000000002</v>
      </c>
      <c r="P354" s="3">
        <v>0.20300000000000001</v>
      </c>
      <c r="Q354" s="4">
        <v>0.81</v>
      </c>
      <c r="R354" s="5">
        <v>18</v>
      </c>
      <c r="S354" s="2">
        <v>3.3</v>
      </c>
      <c r="T354" s="2">
        <v>16.899999999999999</v>
      </c>
      <c r="U354" s="6"/>
      <c r="V354" s="6"/>
      <c r="W354" s="6" t="s">
        <v>14</v>
      </c>
      <c r="X354" s="1" t="s">
        <v>451</v>
      </c>
      <c r="Y354" s="1" t="s">
        <v>15</v>
      </c>
      <c r="Z354" s="1" t="s">
        <v>284</v>
      </c>
      <c r="AA354" s="6" t="s">
        <v>361</v>
      </c>
    </row>
    <row r="355" spans="1:27" x14ac:dyDescent="0.3">
      <c r="A355" s="1" t="s">
        <v>73</v>
      </c>
      <c r="B355" s="1" t="s">
        <v>203</v>
      </c>
      <c r="D355" s="1" t="s">
        <v>235</v>
      </c>
      <c r="F355" s="1" t="s">
        <v>236</v>
      </c>
      <c r="G355" s="1" t="s">
        <v>237</v>
      </c>
      <c r="K355" s="1" t="s">
        <v>37</v>
      </c>
      <c r="M355" s="3">
        <v>3.7000000000000002E-3</v>
      </c>
      <c r="N355" s="3">
        <v>2.0000000000000001E-4</v>
      </c>
      <c r="O355" s="3">
        <v>2.931</v>
      </c>
      <c r="P355" s="3">
        <v>0.21299999999999999</v>
      </c>
      <c r="Q355" s="4">
        <v>0.83</v>
      </c>
      <c r="R355" s="5">
        <v>26</v>
      </c>
      <c r="S355" s="2">
        <v>2.4</v>
      </c>
      <c r="T355" s="2">
        <v>13.2</v>
      </c>
      <c r="U355" s="6"/>
      <c r="V355" s="6"/>
      <c r="W355" s="6" t="s">
        <v>9</v>
      </c>
      <c r="X355" s="1" t="s">
        <v>451</v>
      </c>
      <c r="Y355" s="1" t="s">
        <v>15</v>
      </c>
      <c r="Z355" s="1" t="s">
        <v>284</v>
      </c>
      <c r="AA355" s="6" t="s">
        <v>361</v>
      </c>
    </row>
    <row r="356" spans="1:27" x14ac:dyDescent="0.3">
      <c r="A356" s="1" t="s">
        <v>73</v>
      </c>
      <c r="B356" s="1" t="s">
        <v>203</v>
      </c>
      <c r="D356" s="1" t="s">
        <v>235</v>
      </c>
      <c r="F356" s="1" t="s">
        <v>236</v>
      </c>
      <c r="G356" s="1" t="s">
        <v>237</v>
      </c>
      <c r="K356" s="1" t="s">
        <v>37</v>
      </c>
      <c r="M356" s="3">
        <v>5.4000000000000003E-3</v>
      </c>
      <c r="N356" s="3">
        <v>5.0000000000000001E-4</v>
      </c>
      <c r="O356" s="3">
        <v>2.762</v>
      </c>
      <c r="P356" s="3">
        <v>0.28999999999999998</v>
      </c>
      <c r="Q356" s="4">
        <v>0.77</v>
      </c>
      <c r="R356" s="5">
        <v>50</v>
      </c>
      <c r="S356" s="2">
        <v>2.9</v>
      </c>
      <c r="T356" s="2">
        <v>14.3</v>
      </c>
      <c r="U356" s="6"/>
      <c r="V356" s="6"/>
      <c r="W356" s="6" t="s">
        <v>14</v>
      </c>
      <c r="X356" s="1" t="s">
        <v>451</v>
      </c>
      <c r="Y356" s="1" t="s">
        <v>15</v>
      </c>
      <c r="Z356" s="1" t="s">
        <v>284</v>
      </c>
      <c r="AA356" s="6" t="s">
        <v>361</v>
      </c>
    </row>
    <row r="357" spans="1:27" x14ac:dyDescent="0.3">
      <c r="A357" s="1" t="s">
        <v>73</v>
      </c>
      <c r="B357" s="1" t="s">
        <v>203</v>
      </c>
      <c r="D357" s="1" t="s">
        <v>235</v>
      </c>
      <c r="F357" s="1" t="s">
        <v>242</v>
      </c>
      <c r="K357" s="1" t="s">
        <v>37</v>
      </c>
      <c r="M357" s="3">
        <v>8.0000000000000002E-3</v>
      </c>
      <c r="N357" s="3">
        <v>4.0000000000000002E-4</v>
      </c>
      <c r="O357" s="3">
        <v>2.706</v>
      </c>
      <c r="P357" s="3">
        <v>0.14299999999999999</v>
      </c>
      <c r="Q357" s="4">
        <v>0.85</v>
      </c>
      <c r="R357" s="5">
        <v>32</v>
      </c>
      <c r="S357" s="2">
        <v>2.2000000000000002</v>
      </c>
      <c r="T357" s="2">
        <v>15.1</v>
      </c>
      <c r="U357" s="6"/>
      <c r="V357" s="6"/>
      <c r="W357" s="6" t="s">
        <v>9</v>
      </c>
      <c r="X357" s="1" t="s">
        <v>451</v>
      </c>
      <c r="Y357" s="1" t="s">
        <v>241</v>
      </c>
      <c r="Z357" s="1" t="s">
        <v>284</v>
      </c>
      <c r="AA357" s="6" t="s">
        <v>361</v>
      </c>
    </row>
    <row r="358" spans="1:27" x14ac:dyDescent="0.3">
      <c r="A358" s="1" t="s">
        <v>73</v>
      </c>
      <c r="B358" s="1" t="s">
        <v>203</v>
      </c>
      <c r="D358" s="1" t="s">
        <v>235</v>
      </c>
      <c r="F358" s="1" t="s">
        <v>243</v>
      </c>
      <c r="G358" s="1" t="s">
        <v>244</v>
      </c>
      <c r="K358" s="1" t="s">
        <v>37</v>
      </c>
      <c r="M358" s="3">
        <v>7.6E-3</v>
      </c>
      <c r="N358" s="3">
        <v>5.9999999999999995E-4</v>
      </c>
      <c r="O358" s="3">
        <v>2.601</v>
      </c>
      <c r="P358" s="3">
        <v>0.36599999999999999</v>
      </c>
      <c r="Q358" s="4">
        <v>0.81</v>
      </c>
      <c r="R358" s="5">
        <v>33</v>
      </c>
      <c r="S358" s="2">
        <v>1.7</v>
      </c>
      <c r="T358" s="2">
        <v>13.4</v>
      </c>
      <c r="U358" s="6"/>
      <c r="V358" s="6"/>
      <c r="W358" s="6" t="s">
        <v>14</v>
      </c>
      <c r="X358" s="1" t="s">
        <v>451</v>
      </c>
      <c r="Y358" s="1" t="s">
        <v>15</v>
      </c>
      <c r="Z358" s="1" t="s">
        <v>284</v>
      </c>
      <c r="AA358" s="6" t="s">
        <v>361</v>
      </c>
    </row>
    <row r="359" spans="1:27" x14ac:dyDescent="0.3">
      <c r="A359" s="1" t="s">
        <v>73</v>
      </c>
      <c r="B359" s="1" t="s">
        <v>203</v>
      </c>
      <c r="D359" s="1" t="s">
        <v>235</v>
      </c>
      <c r="F359" s="1" t="s">
        <v>245</v>
      </c>
      <c r="K359" s="1" t="s">
        <v>36</v>
      </c>
      <c r="M359" s="3">
        <v>0.01</v>
      </c>
      <c r="N359" s="3">
        <v>2.0999999999999999E-3</v>
      </c>
      <c r="O359" s="3">
        <v>2.6579999999999999</v>
      </c>
      <c r="P359" s="3">
        <v>0.13100000000000001</v>
      </c>
      <c r="Q359" s="4">
        <v>0.98</v>
      </c>
      <c r="R359" s="5">
        <v>10</v>
      </c>
      <c r="S359" s="2">
        <v>0.9</v>
      </c>
      <c r="T359" s="2">
        <v>12.3</v>
      </c>
      <c r="U359" s="6">
        <v>2.7</v>
      </c>
      <c r="V359" s="6">
        <v>0.06</v>
      </c>
      <c r="W359" s="6" t="s">
        <v>9</v>
      </c>
      <c r="X359" s="1" t="s">
        <v>451</v>
      </c>
      <c r="Y359" s="1" t="s">
        <v>52</v>
      </c>
      <c r="Z359" s="1" t="s">
        <v>284</v>
      </c>
      <c r="AA359" s="6" t="s">
        <v>361</v>
      </c>
    </row>
    <row r="360" spans="1:27" x14ac:dyDescent="0.3">
      <c r="A360" s="1" t="s">
        <v>73</v>
      </c>
      <c r="B360" s="1" t="s">
        <v>203</v>
      </c>
      <c r="D360" s="1" t="s">
        <v>235</v>
      </c>
      <c r="F360" s="1" t="s">
        <v>246</v>
      </c>
      <c r="G360" s="1" t="s">
        <v>247</v>
      </c>
      <c r="K360" s="1" t="s">
        <v>37</v>
      </c>
      <c r="L360" s="1" t="s">
        <v>248</v>
      </c>
      <c r="M360" s="3">
        <v>0.09</v>
      </c>
      <c r="N360" s="3"/>
      <c r="O360" s="3">
        <v>2.84</v>
      </c>
      <c r="P360" s="3"/>
      <c r="Q360" s="4">
        <v>0.94</v>
      </c>
      <c r="R360" s="5">
        <v>150</v>
      </c>
      <c r="S360" s="2"/>
      <c r="T360" s="2"/>
      <c r="U360" s="6"/>
      <c r="V360" s="6"/>
      <c r="W360" s="6" t="s">
        <v>317</v>
      </c>
      <c r="X360" s="1" t="s">
        <v>451</v>
      </c>
      <c r="Y360" s="1" t="s">
        <v>318</v>
      </c>
      <c r="Z360" s="1" t="s">
        <v>284</v>
      </c>
      <c r="AA360" s="6" t="s">
        <v>361</v>
      </c>
    </row>
    <row r="361" spans="1:27" x14ac:dyDescent="0.3">
      <c r="A361" s="1" t="s">
        <v>73</v>
      </c>
      <c r="B361" s="1" t="s">
        <v>203</v>
      </c>
      <c r="D361" s="1" t="s">
        <v>235</v>
      </c>
      <c r="F361" s="1" t="s">
        <v>249</v>
      </c>
      <c r="G361" s="1" t="s">
        <v>250</v>
      </c>
      <c r="K361" s="1" t="s">
        <v>36</v>
      </c>
      <c r="M361" s="3">
        <v>1.1900000000000001E-2</v>
      </c>
      <c r="N361" s="3">
        <v>4.4999999999999997E-3</v>
      </c>
      <c r="O361" s="3">
        <v>2.6949999999999998</v>
      </c>
      <c r="P361" s="3">
        <v>0.20499999999999999</v>
      </c>
      <c r="Q361" s="4">
        <v>0.97</v>
      </c>
      <c r="R361" s="5">
        <v>7</v>
      </c>
      <c r="S361" s="2">
        <v>2.1</v>
      </c>
      <c r="T361" s="2">
        <v>20.9</v>
      </c>
      <c r="U361" s="6">
        <v>3.1</v>
      </c>
      <c r="V361" s="6">
        <v>0.5</v>
      </c>
      <c r="W361" s="6" t="s">
        <v>9</v>
      </c>
      <c r="X361" s="1" t="s">
        <v>451</v>
      </c>
      <c r="Y361" s="1" t="s">
        <v>52</v>
      </c>
      <c r="Z361" s="1" t="s">
        <v>284</v>
      </c>
      <c r="AA361" s="6" t="s">
        <v>361</v>
      </c>
    </row>
    <row r="362" spans="1:27" x14ac:dyDescent="0.3">
      <c r="A362" s="1" t="s">
        <v>73</v>
      </c>
      <c r="B362" s="1" t="s">
        <v>203</v>
      </c>
      <c r="D362" s="1" t="s">
        <v>251</v>
      </c>
      <c r="F362" s="1" t="s">
        <v>253</v>
      </c>
      <c r="G362" s="1" t="s">
        <v>252</v>
      </c>
      <c r="K362" s="1" t="s">
        <v>37</v>
      </c>
      <c r="M362" s="3">
        <v>6.4000000000000003E-3</v>
      </c>
      <c r="N362" s="3">
        <v>5.0000000000000001E-4</v>
      </c>
      <c r="O362" s="3">
        <v>2.8450000000000002</v>
      </c>
      <c r="P362" s="3">
        <v>0.16500000000000001</v>
      </c>
      <c r="Q362" s="4">
        <v>0.9</v>
      </c>
      <c r="R362" s="5">
        <v>36</v>
      </c>
      <c r="S362" s="2">
        <v>8.6</v>
      </c>
      <c r="T362" s="2">
        <v>34.9</v>
      </c>
      <c r="U362" s="6"/>
      <c r="V362" s="6"/>
      <c r="W362" s="6" t="s">
        <v>91</v>
      </c>
      <c r="X362" s="1" t="s">
        <v>451</v>
      </c>
      <c r="Y362" s="1" t="s">
        <v>98</v>
      </c>
      <c r="Z362" s="1" t="s">
        <v>284</v>
      </c>
      <c r="AA362" s="6" t="s">
        <v>361</v>
      </c>
    </row>
    <row r="363" spans="1:27" x14ac:dyDescent="0.3">
      <c r="A363" s="1" t="s">
        <v>73</v>
      </c>
      <c r="B363" s="1" t="s">
        <v>203</v>
      </c>
      <c r="D363" s="1" t="s">
        <v>251</v>
      </c>
      <c r="F363" s="1" t="s">
        <v>253</v>
      </c>
      <c r="G363" s="1" t="s">
        <v>254</v>
      </c>
      <c r="K363" s="1" t="s">
        <v>36</v>
      </c>
      <c r="M363" s="3">
        <v>5.3800000000000001E-2</v>
      </c>
      <c r="N363" s="3">
        <v>1.23E-2</v>
      </c>
      <c r="O363" s="3">
        <v>2.2999999999999998</v>
      </c>
      <c r="P363" s="3">
        <v>0.14499999999999999</v>
      </c>
      <c r="Q363" s="4">
        <v>0.87</v>
      </c>
      <c r="R363" s="5">
        <v>40</v>
      </c>
      <c r="S363" s="2">
        <v>13</v>
      </c>
      <c r="T363" s="2">
        <v>44</v>
      </c>
      <c r="U363" s="6">
        <v>7.8</v>
      </c>
      <c r="V363" s="6">
        <v>0.6</v>
      </c>
      <c r="W363" s="6" t="s">
        <v>9</v>
      </c>
      <c r="X363" s="1" t="s">
        <v>451</v>
      </c>
      <c r="Y363" s="1" t="s">
        <v>11</v>
      </c>
      <c r="Z363" s="1" t="s">
        <v>284</v>
      </c>
      <c r="AA363" s="6" t="s">
        <v>361</v>
      </c>
    </row>
    <row r="364" spans="1:27" x14ac:dyDescent="0.3">
      <c r="A364" s="1" t="s">
        <v>73</v>
      </c>
      <c r="B364" s="1" t="s">
        <v>203</v>
      </c>
      <c r="D364" s="1" t="s">
        <v>255</v>
      </c>
      <c r="F364" s="1" t="s">
        <v>256</v>
      </c>
      <c r="G364" s="1" t="s">
        <v>257</v>
      </c>
      <c r="K364" s="1" t="s">
        <v>36</v>
      </c>
      <c r="M364" s="3">
        <v>9.4999999999999998E-3</v>
      </c>
      <c r="N364" s="3">
        <v>2.3E-3</v>
      </c>
      <c r="O364" s="3">
        <v>2.5670000000000002</v>
      </c>
      <c r="P364" s="3">
        <v>0.17899999999999999</v>
      </c>
      <c r="Q364" s="4">
        <v>0.97</v>
      </c>
      <c r="R364" s="5">
        <v>8</v>
      </c>
      <c r="S364" s="2">
        <v>1</v>
      </c>
      <c r="T364" s="2">
        <v>8.6</v>
      </c>
      <c r="U364" s="6">
        <v>5.7</v>
      </c>
      <c r="V364" s="6">
        <v>0.7</v>
      </c>
      <c r="W364" s="6" t="s">
        <v>9</v>
      </c>
      <c r="X364" s="1" t="s">
        <v>451</v>
      </c>
      <c r="Y364" s="1" t="s">
        <v>52</v>
      </c>
      <c r="Z364" s="1" t="s">
        <v>284</v>
      </c>
      <c r="AA364" s="6" t="s">
        <v>361</v>
      </c>
    </row>
    <row r="365" spans="1:27" x14ac:dyDescent="0.3">
      <c r="A365" s="1" t="s">
        <v>73</v>
      </c>
      <c r="B365" s="1" t="s">
        <v>203</v>
      </c>
      <c r="D365" s="1" t="s">
        <v>255</v>
      </c>
      <c r="F365" s="1" t="s">
        <v>256</v>
      </c>
      <c r="K365" s="1" t="s">
        <v>37</v>
      </c>
      <c r="M365" s="3">
        <v>4.3E-3</v>
      </c>
      <c r="N365" s="3">
        <v>4.0000000000000002E-4</v>
      </c>
      <c r="O365" s="3">
        <v>2.79</v>
      </c>
      <c r="P365" s="3">
        <v>0.32200000000000001</v>
      </c>
      <c r="Q365" s="4">
        <v>0.71</v>
      </c>
      <c r="R365" s="5">
        <v>26</v>
      </c>
      <c r="S365" s="2">
        <v>1.5</v>
      </c>
      <c r="T365" s="2">
        <v>7.8</v>
      </c>
      <c r="U365" s="6"/>
      <c r="V365" s="6"/>
      <c r="W365" s="6" t="s">
        <v>14</v>
      </c>
      <c r="X365" s="1" t="s">
        <v>451</v>
      </c>
      <c r="Y365" s="1" t="s">
        <v>15</v>
      </c>
      <c r="Z365" s="1" t="s">
        <v>284</v>
      </c>
      <c r="AA365" s="6" t="s">
        <v>361</v>
      </c>
    </row>
    <row r="366" spans="1:27" x14ac:dyDescent="0.3">
      <c r="A366" s="1" t="s">
        <v>73</v>
      </c>
      <c r="B366" s="1" t="s">
        <v>203</v>
      </c>
      <c r="D366" s="1" t="s">
        <v>255</v>
      </c>
      <c r="F366" s="1" t="s">
        <v>259</v>
      </c>
      <c r="G366" s="1" t="s">
        <v>258</v>
      </c>
      <c r="K366" s="1" t="s">
        <v>37</v>
      </c>
      <c r="M366" s="3">
        <v>7.9000000000000008E-3</v>
      </c>
      <c r="N366" s="3">
        <v>5.0000000000000001E-4</v>
      </c>
      <c r="O366" s="3">
        <v>2.5499999999999998</v>
      </c>
      <c r="P366" s="3">
        <v>0.23799999999999999</v>
      </c>
      <c r="Q366" s="4">
        <v>0.89</v>
      </c>
      <c r="R366" s="5">
        <v>16</v>
      </c>
      <c r="S366" s="2">
        <v>1.6</v>
      </c>
      <c r="T366" s="2">
        <v>4.2</v>
      </c>
      <c r="U366" s="6"/>
      <c r="V366" s="6"/>
      <c r="W366" s="6" t="s">
        <v>91</v>
      </c>
      <c r="X366" s="1" t="s">
        <v>451</v>
      </c>
      <c r="Y366" s="1" t="s">
        <v>98</v>
      </c>
      <c r="Z366" s="1" t="s">
        <v>284</v>
      </c>
      <c r="AA366" s="6" t="s">
        <v>361</v>
      </c>
    </row>
    <row r="367" spans="1:27" x14ac:dyDescent="0.3">
      <c r="A367" s="1" t="s">
        <v>73</v>
      </c>
      <c r="B367" s="1" t="s">
        <v>203</v>
      </c>
      <c r="D367" s="1" t="s">
        <v>255</v>
      </c>
      <c r="F367" s="1" t="s">
        <v>259</v>
      </c>
      <c r="K367" s="1" t="s">
        <v>37</v>
      </c>
      <c r="M367" s="3">
        <v>6.7000000000000002E-3</v>
      </c>
      <c r="N367" s="3">
        <v>5.0000000000000001E-4</v>
      </c>
      <c r="O367" s="3">
        <v>2.7109999999999999</v>
      </c>
      <c r="P367" s="3">
        <v>0.33100000000000002</v>
      </c>
      <c r="Q367" s="4">
        <v>0.8</v>
      </c>
      <c r="R367" s="5">
        <v>44</v>
      </c>
      <c r="S367" s="2">
        <v>1.8</v>
      </c>
      <c r="T367" s="2">
        <v>8.5</v>
      </c>
      <c r="U367" s="6"/>
      <c r="V367" s="6"/>
      <c r="W367" s="6" t="s">
        <v>9</v>
      </c>
      <c r="X367" s="1" t="s">
        <v>451</v>
      </c>
      <c r="Y367" s="1" t="s">
        <v>15</v>
      </c>
      <c r="Z367" s="1" t="s">
        <v>284</v>
      </c>
      <c r="AA367" s="6" t="s">
        <v>361</v>
      </c>
    </row>
    <row r="368" spans="1:27" x14ac:dyDescent="0.3">
      <c r="A368" s="1" t="s">
        <v>73</v>
      </c>
      <c r="B368" s="10" t="s">
        <v>203</v>
      </c>
      <c r="K368" s="1" t="s">
        <v>37</v>
      </c>
      <c r="M368" s="10">
        <v>3.1010950125722535E-3</v>
      </c>
      <c r="O368" s="10">
        <v>3.0150000000000001</v>
      </c>
      <c r="P368" s="10"/>
      <c r="Q368" s="16">
        <v>0.98599999999999999</v>
      </c>
      <c r="R368" s="1">
        <v>302</v>
      </c>
      <c r="W368" s="1" t="s">
        <v>474</v>
      </c>
      <c r="X368" s="1" t="s">
        <v>451</v>
      </c>
      <c r="Y368" s="1" t="s">
        <v>475</v>
      </c>
    </row>
    <row r="369" spans="1:25" x14ac:dyDescent="0.3">
      <c r="A369" s="1" t="s">
        <v>73</v>
      </c>
      <c r="B369" s="10" t="s">
        <v>203</v>
      </c>
      <c r="D369" s="1" t="s">
        <v>235</v>
      </c>
      <c r="F369" s="10" t="s">
        <v>243</v>
      </c>
      <c r="G369" s="1" t="s">
        <v>465</v>
      </c>
      <c r="K369" s="1" t="s">
        <v>37</v>
      </c>
      <c r="M369" s="10">
        <v>7.1904609458964481E-3</v>
      </c>
      <c r="O369" s="10">
        <v>2.7349999999999999</v>
      </c>
      <c r="P369" s="10"/>
      <c r="Q369" s="16">
        <v>0.99199999999999999</v>
      </c>
      <c r="R369" s="10">
        <v>105</v>
      </c>
      <c r="W369" s="1" t="s">
        <v>474</v>
      </c>
      <c r="X369" s="1" t="s">
        <v>451</v>
      </c>
      <c r="Y369" s="1" t="s">
        <v>475</v>
      </c>
    </row>
    <row r="370" spans="1:25" x14ac:dyDescent="0.3">
      <c r="A370" s="1" t="s">
        <v>73</v>
      </c>
      <c r="B370" s="10" t="s">
        <v>203</v>
      </c>
      <c r="D370" s="1" t="s">
        <v>209</v>
      </c>
      <c r="F370" s="10" t="s">
        <v>467</v>
      </c>
      <c r="G370" s="1" t="s">
        <v>466</v>
      </c>
      <c r="K370" s="1" t="s">
        <v>37</v>
      </c>
      <c r="M370" s="10">
        <v>1.9017134184540342E-3</v>
      </c>
      <c r="O370" s="10">
        <v>3.5880000000000001</v>
      </c>
      <c r="P370" s="10"/>
      <c r="Q370" s="16">
        <v>0.98899999999999999</v>
      </c>
      <c r="R370" s="10">
        <v>30</v>
      </c>
      <c r="T370" s="6"/>
      <c r="U370" s="6"/>
      <c r="V370" s="6"/>
      <c r="W370" s="1" t="s">
        <v>474</v>
      </c>
      <c r="X370" s="1" t="s">
        <v>451</v>
      </c>
      <c r="Y370" s="1" t="s">
        <v>475</v>
      </c>
    </row>
    <row r="371" spans="1:25" x14ac:dyDescent="0.3">
      <c r="A371" s="1" t="s">
        <v>73</v>
      </c>
      <c r="B371" s="10" t="s">
        <v>203</v>
      </c>
      <c r="D371" s="1" t="s">
        <v>238</v>
      </c>
      <c r="F371" s="10" t="s">
        <v>208</v>
      </c>
      <c r="K371" s="1" t="s">
        <v>37</v>
      </c>
      <c r="M371" s="10">
        <v>2.6346629971178192E-3</v>
      </c>
      <c r="O371" s="10">
        <v>2.8140000000000001</v>
      </c>
      <c r="P371" s="10"/>
      <c r="Q371" s="16">
        <v>0.98899999999999999</v>
      </c>
      <c r="R371" s="10">
        <v>167</v>
      </c>
      <c r="U371" s="6"/>
      <c r="V371" s="6"/>
      <c r="W371" s="1" t="s">
        <v>474</v>
      </c>
      <c r="X371" s="1" t="s">
        <v>451</v>
      </c>
      <c r="Y371" s="1" t="s">
        <v>475</v>
      </c>
    </row>
    <row r="372" spans="1:25" ht="14.5" x14ac:dyDescent="0.35">
      <c r="A372" s="1" t="s">
        <v>73</v>
      </c>
      <c r="B372" s="10" t="s">
        <v>203</v>
      </c>
      <c r="D372" t="s">
        <v>477</v>
      </c>
      <c r="F372" t="s">
        <v>492</v>
      </c>
      <c r="G372" t="s">
        <v>493</v>
      </c>
      <c r="K372" s="1" t="s">
        <v>37</v>
      </c>
      <c r="L372" s="1" t="s">
        <v>548</v>
      </c>
      <c r="M372">
        <v>5.7416996856542021E-3</v>
      </c>
      <c r="N372"/>
      <c r="O372">
        <v>2.5299999999999998</v>
      </c>
      <c r="P372"/>
      <c r="Q372" s="17">
        <v>0.94</v>
      </c>
      <c r="R372">
        <v>39</v>
      </c>
      <c r="S372">
        <v>4.5</v>
      </c>
      <c r="T372">
        <v>25</v>
      </c>
      <c r="V372" s="6"/>
      <c r="W372" s="6" t="s">
        <v>549</v>
      </c>
      <c r="X372" s="6" t="s">
        <v>550</v>
      </c>
      <c r="Y372" t="s">
        <v>551</v>
      </c>
    </row>
    <row r="373" spans="1:25" ht="14.5" x14ac:dyDescent="0.35">
      <c r="A373" s="1" t="s">
        <v>73</v>
      </c>
      <c r="B373" s="10" t="s">
        <v>203</v>
      </c>
      <c r="D373" t="s">
        <v>217</v>
      </c>
      <c r="F373" t="s">
        <v>494</v>
      </c>
      <c r="G373" t="s">
        <v>495</v>
      </c>
      <c r="K373" s="1" t="s">
        <v>37</v>
      </c>
      <c r="L373" s="1" t="s">
        <v>548</v>
      </c>
      <c r="M373">
        <v>1.2155178329914935E-2</v>
      </c>
      <c r="N373"/>
      <c r="O373">
        <v>2.66</v>
      </c>
      <c r="P373"/>
      <c r="Q373" s="17">
        <v>0.96</v>
      </c>
      <c r="R373">
        <v>23</v>
      </c>
      <c r="S373">
        <v>2</v>
      </c>
      <c r="T373">
        <v>20</v>
      </c>
      <c r="V373" s="6"/>
      <c r="W373" s="6" t="s">
        <v>549</v>
      </c>
      <c r="X373" s="6" t="s">
        <v>550</v>
      </c>
      <c r="Y373" t="s">
        <v>551</v>
      </c>
    </row>
    <row r="374" spans="1:25" ht="14.5" x14ac:dyDescent="0.35">
      <c r="A374" s="1" t="s">
        <v>73</v>
      </c>
      <c r="B374" s="10" t="s">
        <v>203</v>
      </c>
      <c r="D374" t="s">
        <v>217</v>
      </c>
      <c r="F374" t="s">
        <v>496</v>
      </c>
      <c r="G374" t="s">
        <v>497</v>
      </c>
      <c r="K374" s="1" t="s">
        <v>37</v>
      </c>
      <c r="L374" s="1" t="s">
        <v>548</v>
      </c>
      <c r="M374">
        <v>7.9865212659555023E-3</v>
      </c>
      <c r="N374"/>
      <c r="O374">
        <v>2.74</v>
      </c>
      <c r="P374"/>
      <c r="Q374" s="17">
        <v>0.94</v>
      </c>
      <c r="R374">
        <v>17</v>
      </c>
      <c r="S374">
        <v>3</v>
      </c>
      <c r="T374">
        <v>19</v>
      </c>
      <c r="V374" s="6"/>
      <c r="W374" s="6" t="s">
        <v>549</v>
      </c>
      <c r="X374" s="6" t="s">
        <v>550</v>
      </c>
      <c r="Y374" t="s">
        <v>551</v>
      </c>
    </row>
    <row r="375" spans="1:25" ht="14.5" x14ac:dyDescent="0.35">
      <c r="A375" s="1" t="s">
        <v>73</v>
      </c>
      <c r="B375" s="10" t="s">
        <v>203</v>
      </c>
      <c r="D375" t="s">
        <v>478</v>
      </c>
      <c r="F375" t="s">
        <v>498</v>
      </c>
      <c r="G375" t="s">
        <v>499</v>
      </c>
      <c r="K375" s="1" t="s">
        <v>37</v>
      </c>
      <c r="L375" s="1" t="s">
        <v>548</v>
      </c>
      <c r="M375">
        <v>4.2535557448151254E-3</v>
      </c>
      <c r="N375"/>
      <c r="O375">
        <v>3.15</v>
      </c>
      <c r="P375"/>
      <c r="Q375" s="17">
        <v>0.85</v>
      </c>
      <c r="R375">
        <v>39</v>
      </c>
      <c r="S375">
        <v>2</v>
      </c>
      <c r="T375">
        <v>16</v>
      </c>
      <c r="V375" s="6"/>
      <c r="W375" s="6" t="s">
        <v>549</v>
      </c>
      <c r="X375" s="6" t="s">
        <v>550</v>
      </c>
      <c r="Y375" t="s">
        <v>551</v>
      </c>
    </row>
    <row r="376" spans="1:25" ht="14.5" x14ac:dyDescent="0.35">
      <c r="A376" s="1" t="s">
        <v>73</v>
      </c>
      <c r="B376" s="10" t="s">
        <v>203</v>
      </c>
      <c r="D376" t="s">
        <v>478</v>
      </c>
      <c r="F376" t="s">
        <v>500</v>
      </c>
      <c r="G376" t="s">
        <v>501</v>
      </c>
      <c r="K376" s="1" t="s">
        <v>37</v>
      </c>
      <c r="L376" s="1" t="s">
        <v>548</v>
      </c>
      <c r="M376">
        <v>1.8547599468555032E-3</v>
      </c>
      <c r="N376"/>
      <c r="O376">
        <v>2.94</v>
      </c>
      <c r="P376"/>
      <c r="Q376" s="17">
        <v>0.86</v>
      </c>
      <c r="R376">
        <v>31</v>
      </c>
      <c r="S376">
        <v>3</v>
      </c>
      <c r="T376">
        <v>15</v>
      </c>
      <c r="V376" s="6"/>
      <c r="W376" s="6" t="s">
        <v>549</v>
      </c>
      <c r="X376" s="6" t="s">
        <v>550</v>
      </c>
      <c r="Y376" t="s">
        <v>551</v>
      </c>
    </row>
    <row r="377" spans="1:25" ht="14.5" x14ac:dyDescent="0.35">
      <c r="A377" s="1" t="s">
        <v>73</v>
      </c>
      <c r="B377" s="10" t="s">
        <v>203</v>
      </c>
      <c r="D377" t="s">
        <v>478</v>
      </c>
      <c r="F377" t="s">
        <v>502</v>
      </c>
      <c r="G377" t="s">
        <v>503</v>
      </c>
      <c r="K377" s="1" t="s">
        <v>37</v>
      </c>
      <c r="L377" s="1" t="s">
        <v>548</v>
      </c>
      <c r="M377">
        <v>3.0500872171217483E-2</v>
      </c>
      <c r="N377"/>
      <c r="O377">
        <v>1.61</v>
      </c>
      <c r="P377"/>
      <c r="Q377" s="17">
        <v>0.74</v>
      </c>
      <c r="R377">
        <v>22</v>
      </c>
      <c r="S377">
        <v>2</v>
      </c>
      <c r="T377">
        <v>9</v>
      </c>
      <c r="V377" s="6"/>
      <c r="W377" s="6" t="s">
        <v>549</v>
      </c>
      <c r="X377" s="6" t="s">
        <v>550</v>
      </c>
      <c r="Y377" t="s">
        <v>551</v>
      </c>
    </row>
    <row r="378" spans="1:25" ht="14.5" x14ac:dyDescent="0.35">
      <c r="A378" s="1" t="s">
        <v>73</v>
      </c>
      <c r="B378" s="10" t="s">
        <v>203</v>
      </c>
      <c r="D378" t="s">
        <v>478</v>
      </c>
      <c r="F378" t="s">
        <v>504</v>
      </c>
      <c r="G378" t="s">
        <v>505</v>
      </c>
      <c r="K378" s="1" t="s">
        <v>37</v>
      </c>
      <c r="L378" s="1" t="s">
        <v>548</v>
      </c>
      <c r="M378">
        <v>5.684568819219595E-3</v>
      </c>
      <c r="N378"/>
      <c r="O378">
        <v>2.34</v>
      </c>
      <c r="P378"/>
      <c r="Q378" s="17">
        <v>0.54</v>
      </c>
      <c r="R378">
        <v>26</v>
      </c>
      <c r="S378">
        <v>3</v>
      </c>
      <c r="T378">
        <v>8</v>
      </c>
      <c r="V378" s="6"/>
      <c r="W378" s="6" t="s">
        <v>549</v>
      </c>
      <c r="X378" s="6" t="s">
        <v>550</v>
      </c>
      <c r="Y378" t="s">
        <v>551</v>
      </c>
    </row>
    <row r="379" spans="1:25" ht="14.5" x14ac:dyDescent="0.35">
      <c r="A379" s="1" t="s">
        <v>73</v>
      </c>
      <c r="B379" s="10" t="s">
        <v>203</v>
      </c>
      <c r="D379" t="s">
        <v>478</v>
      </c>
      <c r="F379" t="s">
        <v>506</v>
      </c>
      <c r="G379" t="s">
        <v>507</v>
      </c>
      <c r="K379" s="1" t="s">
        <v>37</v>
      </c>
      <c r="L379" s="1" t="s">
        <v>548</v>
      </c>
      <c r="M379">
        <v>5.0924307926991904E-3</v>
      </c>
      <c r="N379"/>
      <c r="O379">
        <v>2.78</v>
      </c>
      <c r="P379"/>
      <c r="Q379" s="17">
        <v>0.87</v>
      </c>
      <c r="R379">
        <v>23</v>
      </c>
      <c r="S379">
        <v>2</v>
      </c>
      <c r="T379">
        <v>5.5</v>
      </c>
      <c r="U379" s="6"/>
      <c r="V379" s="6"/>
      <c r="W379" s="6" t="s">
        <v>549</v>
      </c>
      <c r="X379" s="6" t="s">
        <v>550</v>
      </c>
      <c r="Y379" t="s">
        <v>551</v>
      </c>
    </row>
    <row r="380" spans="1:25" ht="14.5" x14ac:dyDescent="0.35">
      <c r="A380" s="1" t="s">
        <v>73</v>
      </c>
      <c r="B380" s="10" t="s">
        <v>203</v>
      </c>
      <c r="D380" t="s">
        <v>478</v>
      </c>
      <c r="F380" t="s">
        <v>508</v>
      </c>
      <c r="G380" t="s">
        <v>509</v>
      </c>
      <c r="K380" s="1" t="s">
        <v>37</v>
      </c>
      <c r="L380" s="1" t="s">
        <v>548</v>
      </c>
      <c r="M380">
        <v>6.0204992392373542E-2</v>
      </c>
      <c r="N380"/>
      <c r="O380">
        <v>1.38</v>
      </c>
      <c r="P380"/>
      <c r="Q380" s="17">
        <v>0.63</v>
      </c>
      <c r="R380">
        <v>17</v>
      </c>
      <c r="S380">
        <v>3</v>
      </c>
      <c r="T380">
        <v>9.5</v>
      </c>
      <c r="U380" s="6"/>
      <c r="V380" s="6"/>
      <c r="W380" s="6" t="s">
        <v>549</v>
      </c>
      <c r="X380" s="6" t="s">
        <v>550</v>
      </c>
      <c r="Y380" t="s">
        <v>551</v>
      </c>
    </row>
    <row r="381" spans="1:25" ht="14.5" x14ac:dyDescent="0.35">
      <c r="A381" s="1" t="s">
        <v>73</v>
      </c>
      <c r="B381" s="10" t="s">
        <v>203</v>
      </c>
      <c r="D381" t="s">
        <v>478</v>
      </c>
      <c r="F381" t="s">
        <v>510</v>
      </c>
      <c r="G381" t="s">
        <v>511</v>
      </c>
      <c r="K381" s="1" t="s">
        <v>37</v>
      </c>
      <c r="L381" s="1" t="s">
        <v>548</v>
      </c>
      <c r="M381">
        <v>9.1866861562446642E-3</v>
      </c>
      <c r="N381"/>
      <c r="O381">
        <v>2.7</v>
      </c>
      <c r="P381"/>
      <c r="Q381" s="17">
        <v>0.93</v>
      </c>
      <c r="R381">
        <v>27</v>
      </c>
      <c r="S381">
        <v>2</v>
      </c>
      <c r="T381">
        <v>17</v>
      </c>
      <c r="U381" s="6"/>
      <c r="V381" s="6"/>
      <c r="W381" s="6" t="s">
        <v>549</v>
      </c>
      <c r="X381" s="6" t="s">
        <v>550</v>
      </c>
      <c r="Y381" t="s">
        <v>551</v>
      </c>
    </row>
    <row r="382" spans="1:25" ht="14.5" x14ac:dyDescent="0.35">
      <c r="A382" s="1" t="s">
        <v>73</v>
      </c>
      <c r="B382" s="15" t="s">
        <v>203</v>
      </c>
      <c r="D382" s="15" t="s">
        <v>209</v>
      </c>
      <c r="F382" s="15" t="s">
        <v>210</v>
      </c>
      <c r="G382" s="15"/>
      <c r="H382" s="15"/>
      <c r="K382" s="1" t="s">
        <v>37</v>
      </c>
      <c r="M382" s="15">
        <v>2.7394448187683684E-3</v>
      </c>
      <c r="N382" s="15"/>
      <c r="O382" s="15">
        <v>3.32</v>
      </c>
      <c r="Q382" s="18">
        <v>0.93</v>
      </c>
      <c r="R382" s="15">
        <v>12</v>
      </c>
      <c r="S382" s="15">
        <v>3.1</v>
      </c>
      <c r="T382" s="15">
        <v>6.2</v>
      </c>
      <c r="U382" s="6"/>
      <c r="V382" s="6"/>
      <c r="W382" s="6" t="s">
        <v>570</v>
      </c>
      <c r="X382" s="6" t="s">
        <v>550</v>
      </c>
      <c r="Y382" s="1" t="s">
        <v>571</v>
      </c>
    </row>
    <row r="383" spans="1:25" ht="14.5" x14ac:dyDescent="0.35">
      <c r="A383" s="1" t="s">
        <v>73</v>
      </c>
      <c r="B383" s="15" t="s">
        <v>203</v>
      </c>
      <c r="D383" s="15" t="s">
        <v>209</v>
      </c>
      <c r="F383" s="15" t="s">
        <v>467</v>
      </c>
      <c r="G383" s="15"/>
      <c r="H383" s="15"/>
      <c r="K383" s="1" t="s">
        <v>37</v>
      </c>
      <c r="M383" s="15">
        <v>1.3036528203437736E-2</v>
      </c>
      <c r="N383" s="15"/>
      <c r="O383" s="15">
        <v>1.62</v>
      </c>
      <c r="Q383" s="18">
        <v>0.6</v>
      </c>
      <c r="R383" s="15">
        <v>13</v>
      </c>
      <c r="S383" s="15">
        <v>1.3</v>
      </c>
      <c r="T383" s="15">
        <v>5.3</v>
      </c>
      <c r="U383" s="6"/>
      <c r="V383" s="6"/>
      <c r="W383" s="6" t="s">
        <v>570</v>
      </c>
      <c r="X383" s="6" t="s">
        <v>550</v>
      </c>
      <c r="Y383" s="1" t="s">
        <v>571</v>
      </c>
    </row>
    <row r="384" spans="1:25" ht="14.5" x14ac:dyDescent="0.35">
      <c r="A384" s="1" t="s">
        <v>73</v>
      </c>
      <c r="B384" s="15" t="s">
        <v>203</v>
      </c>
      <c r="D384" s="15" t="s">
        <v>553</v>
      </c>
      <c r="F384" s="15" t="s">
        <v>553</v>
      </c>
      <c r="G384" s="15"/>
      <c r="H384" s="15"/>
      <c r="K384" s="1" t="s">
        <v>37</v>
      </c>
      <c r="M384" s="15">
        <v>6.2199090159425728E-3</v>
      </c>
      <c r="N384" s="15"/>
      <c r="O384" s="15">
        <v>2.5099999999999998</v>
      </c>
      <c r="Q384" s="18">
        <v>0.67</v>
      </c>
      <c r="R384" s="15">
        <v>34</v>
      </c>
      <c r="S384" s="15">
        <v>1.8</v>
      </c>
      <c r="T384" s="15">
        <v>6.7</v>
      </c>
      <c r="U384" s="6"/>
      <c r="V384" s="6"/>
      <c r="W384" s="6" t="s">
        <v>570</v>
      </c>
      <c r="X384" s="6" t="s">
        <v>550</v>
      </c>
      <c r="Y384" s="1" t="s">
        <v>571</v>
      </c>
    </row>
    <row r="385" spans="1:27" ht="14.5" x14ac:dyDescent="0.35">
      <c r="A385" s="1" t="s">
        <v>73</v>
      </c>
      <c r="B385" s="15" t="s">
        <v>203</v>
      </c>
      <c r="D385" s="15" t="s">
        <v>238</v>
      </c>
      <c r="F385" s="15" t="s">
        <v>208</v>
      </c>
      <c r="G385" s="15"/>
      <c r="H385" s="15"/>
      <c r="K385" s="1" t="s">
        <v>37</v>
      </c>
      <c r="M385" s="15">
        <v>2.1984559630425313E-3</v>
      </c>
      <c r="N385" s="15"/>
      <c r="O385" s="15">
        <v>2.66</v>
      </c>
      <c r="Q385" s="18">
        <v>0.87</v>
      </c>
      <c r="R385" s="15">
        <v>31</v>
      </c>
      <c r="S385" s="15">
        <v>2.7</v>
      </c>
      <c r="T385" s="15">
        <v>8</v>
      </c>
      <c r="U385" s="6"/>
      <c r="V385" s="6"/>
      <c r="W385" s="6" t="s">
        <v>570</v>
      </c>
      <c r="X385" s="6" t="s">
        <v>550</v>
      </c>
      <c r="Y385" s="1" t="s">
        <v>571</v>
      </c>
    </row>
    <row r="386" spans="1:27" ht="14.5" x14ac:dyDescent="0.35">
      <c r="A386" s="1" t="s">
        <v>73</v>
      </c>
      <c r="B386" s="15" t="s">
        <v>203</v>
      </c>
      <c r="D386" s="15" t="s">
        <v>235</v>
      </c>
      <c r="F386" s="15" t="s">
        <v>243</v>
      </c>
      <c r="G386" s="15"/>
      <c r="H386" s="15"/>
      <c r="K386" s="1" t="s">
        <v>37</v>
      </c>
      <c r="M386" s="15">
        <v>4.2535557448151254E-3</v>
      </c>
      <c r="N386" s="15"/>
      <c r="O386" s="15">
        <v>2.8</v>
      </c>
      <c r="Q386" s="18">
        <v>0.88</v>
      </c>
      <c r="R386" s="15">
        <v>15</v>
      </c>
      <c r="S386" s="15">
        <v>4</v>
      </c>
      <c r="T386" s="15">
        <v>13.4</v>
      </c>
      <c r="U386" s="6"/>
      <c r="V386" s="6"/>
      <c r="W386" s="6" t="s">
        <v>570</v>
      </c>
      <c r="X386" s="6" t="s">
        <v>550</v>
      </c>
      <c r="Y386" s="1" t="s">
        <v>571</v>
      </c>
    </row>
    <row r="387" spans="1:27" ht="14.5" x14ac:dyDescent="0.35">
      <c r="A387" s="1" t="s">
        <v>73</v>
      </c>
      <c r="B387" s="15" t="s">
        <v>203</v>
      </c>
      <c r="D387" s="15" t="s">
        <v>217</v>
      </c>
      <c r="F387" s="15" t="s">
        <v>554</v>
      </c>
      <c r="G387" s="15" t="s">
        <v>555</v>
      </c>
      <c r="H387" s="15"/>
      <c r="K387" s="1" t="s">
        <v>37</v>
      </c>
      <c r="M387" s="15">
        <v>3.5175167749121284E-3</v>
      </c>
      <c r="N387" s="15"/>
      <c r="O387" s="15">
        <v>2.92</v>
      </c>
      <c r="Q387" s="18">
        <v>0.98</v>
      </c>
      <c r="R387" s="15">
        <v>47</v>
      </c>
      <c r="S387" s="15">
        <v>4</v>
      </c>
      <c r="T387" s="15">
        <v>34.1</v>
      </c>
      <c r="U387" s="6"/>
      <c r="V387" s="6"/>
      <c r="W387" s="6" t="s">
        <v>570</v>
      </c>
      <c r="X387" s="6" t="s">
        <v>550</v>
      </c>
      <c r="Y387" s="1" t="s">
        <v>571</v>
      </c>
    </row>
    <row r="388" spans="1:27" ht="14.5" x14ac:dyDescent="0.35">
      <c r="A388" s="1" t="s">
        <v>73</v>
      </c>
      <c r="B388" s="15" t="s">
        <v>203</v>
      </c>
      <c r="D388" s="15" t="s">
        <v>206</v>
      </c>
      <c r="F388" s="15" t="s">
        <v>556</v>
      </c>
      <c r="G388" s="15"/>
      <c r="H388" s="15"/>
      <c r="K388" s="1" t="s">
        <v>37</v>
      </c>
      <c r="M388" s="15">
        <v>3.0275547453758153E-3</v>
      </c>
      <c r="N388" s="15"/>
      <c r="O388" s="15">
        <v>2.67</v>
      </c>
      <c r="Q388" s="18">
        <v>0.8</v>
      </c>
      <c r="R388" s="15">
        <v>33</v>
      </c>
      <c r="S388" s="15">
        <v>4.4000000000000004</v>
      </c>
      <c r="T388" s="15">
        <v>12.2</v>
      </c>
      <c r="U388" s="6"/>
      <c r="V388" s="6"/>
      <c r="W388" s="6" t="s">
        <v>570</v>
      </c>
      <c r="X388" s="6" t="s">
        <v>550</v>
      </c>
      <c r="Y388" s="1" t="s">
        <v>571</v>
      </c>
    </row>
    <row r="389" spans="1:27" x14ac:dyDescent="0.3">
      <c r="A389" s="1" t="s">
        <v>73</v>
      </c>
      <c r="B389" s="1" t="s">
        <v>280</v>
      </c>
      <c r="D389" s="1" t="s">
        <v>281</v>
      </c>
      <c r="F389" s="1" t="s">
        <v>285</v>
      </c>
      <c r="G389" s="1" t="s">
        <v>286</v>
      </c>
      <c r="K389" s="1" t="s">
        <v>37</v>
      </c>
      <c r="M389" s="3">
        <v>2.5000000000000001E-3</v>
      </c>
      <c r="N389" s="3">
        <v>8.0000000000000004E-4</v>
      </c>
      <c r="O389" s="3">
        <v>3.4430000000000001</v>
      </c>
      <c r="P389" s="3">
        <v>3.6999999999999998E-2</v>
      </c>
      <c r="Q389" s="4">
        <v>0.98</v>
      </c>
      <c r="R389" s="5">
        <v>224</v>
      </c>
      <c r="S389" s="2">
        <v>2</v>
      </c>
      <c r="T389" s="2">
        <v>13</v>
      </c>
      <c r="U389" s="6">
        <v>11.7</v>
      </c>
      <c r="V389" s="6">
        <v>0.5</v>
      </c>
      <c r="W389" s="6" t="s">
        <v>91</v>
      </c>
      <c r="X389" s="1" t="s">
        <v>451</v>
      </c>
      <c r="Y389" s="1" t="s">
        <v>11</v>
      </c>
      <c r="Z389" s="1" t="s">
        <v>284</v>
      </c>
      <c r="AA389" s="6" t="s">
        <v>361</v>
      </c>
    </row>
    <row r="390" spans="1:27" x14ac:dyDescent="0.3">
      <c r="A390" s="1" t="s">
        <v>73</v>
      </c>
      <c r="B390" s="1" t="s">
        <v>280</v>
      </c>
      <c r="D390" s="1" t="s">
        <v>281</v>
      </c>
      <c r="F390" s="1" t="s">
        <v>285</v>
      </c>
      <c r="K390" s="1" t="s">
        <v>37</v>
      </c>
      <c r="M390" s="3">
        <v>2.5000000000000001E-3</v>
      </c>
      <c r="N390" s="3">
        <v>5.0000000000000001E-4</v>
      </c>
      <c r="O390" s="3">
        <v>2.6</v>
      </c>
      <c r="P390" s="3">
        <v>0.42099999999999999</v>
      </c>
      <c r="Q390" s="4">
        <v>0.66</v>
      </c>
      <c r="R390" s="5">
        <v>26</v>
      </c>
      <c r="S390" s="2">
        <v>2.2000000000000002</v>
      </c>
      <c r="T390" s="2">
        <v>10.4</v>
      </c>
      <c r="U390" s="6"/>
      <c r="V390" s="6"/>
      <c r="W390" s="6" t="s">
        <v>14</v>
      </c>
      <c r="X390" s="1" t="s">
        <v>451</v>
      </c>
      <c r="Y390" s="1" t="s">
        <v>15</v>
      </c>
      <c r="Z390" s="1" t="s">
        <v>284</v>
      </c>
      <c r="AA390" s="6" t="s">
        <v>361</v>
      </c>
    </row>
    <row r="391" spans="1:27" x14ac:dyDescent="0.3">
      <c r="A391" s="1" t="s">
        <v>73</v>
      </c>
      <c r="B391" s="1" t="s">
        <v>280</v>
      </c>
      <c r="D391" s="1" t="s">
        <v>281</v>
      </c>
      <c r="F391" s="1" t="s">
        <v>287</v>
      </c>
      <c r="K391" s="1" t="s">
        <v>36</v>
      </c>
      <c r="M391" s="3">
        <v>1.8100000000000002E-2</v>
      </c>
      <c r="N391" s="3">
        <v>1.9E-3</v>
      </c>
      <c r="O391" s="3">
        <v>2.41</v>
      </c>
      <c r="P391" s="3">
        <v>8.6999999999999994E-2</v>
      </c>
      <c r="Q391" s="4">
        <v>0.97</v>
      </c>
      <c r="R391" s="5">
        <v>22</v>
      </c>
      <c r="S391" s="2">
        <v>1</v>
      </c>
      <c r="T391" s="2">
        <v>5.4</v>
      </c>
      <c r="U391" s="6">
        <v>7.2</v>
      </c>
      <c r="V391" s="6">
        <v>0.6</v>
      </c>
      <c r="W391" s="6" t="s">
        <v>96</v>
      </c>
      <c r="X391" s="1" t="s">
        <v>451</v>
      </c>
      <c r="Y391" s="1" t="s">
        <v>10</v>
      </c>
      <c r="Z391" s="1" t="s">
        <v>284</v>
      </c>
      <c r="AA391" s="6" t="s">
        <v>361</v>
      </c>
    </row>
    <row r="392" spans="1:27" x14ac:dyDescent="0.3">
      <c r="A392" s="1" t="s">
        <v>73</v>
      </c>
      <c r="B392" s="1" t="s">
        <v>280</v>
      </c>
      <c r="D392" s="1" t="s">
        <v>288</v>
      </c>
      <c r="F392" s="1" t="s">
        <v>289</v>
      </c>
      <c r="G392" s="1" t="s">
        <v>290</v>
      </c>
      <c r="K392" s="1" t="s">
        <v>36</v>
      </c>
      <c r="M392" s="3">
        <v>6.4999999999999997E-3</v>
      </c>
      <c r="N392" s="3"/>
      <c r="O392" s="3">
        <v>3.028</v>
      </c>
      <c r="P392" s="3"/>
      <c r="Q392" s="4">
        <v>0.98</v>
      </c>
      <c r="R392" s="5">
        <v>61</v>
      </c>
      <c r="S392" s="2">
        <v>0.7</v>
      </c>
      <c r="T392" s="2">
        <v>6.3</v>
      </c>
      <c r="U392" s="6"/>
      <c r="V392" s="6"/>
      <c r="W392" s="6" t="s">
        <v>96</v>
      </c>
      <c r="X392" s="1" t="s">
        <v>451</v>
      </c>
      <c r="Y392" s="1" t="s">
        <v>319</v>
      </c>
      <c r="Z392" s="1" t="s">
        <v>284</v>
      </c>
      <c r="AA392" s="6" t="s">
        <v>361</v>
      </c>
    </row>
    <row r="393" spans="1:27" x14ac:dyDescent="0.3">
      <c r="A393" s="1" t="s">
        <v>73</v>
      </c>
      <c r="B393" s="1" t="s">
        <v>280</v>
      </c>
      <c r="D393" s="1" t="s">
        <v>288</v>
      </c>
      <c r="F393" s="1" t="s">
        <v>289</v>
      </c>
      <c r="K393" s="1" t="s">
        <v>36</v>
      </c>
      <c r="M393" s="3">
        <v>9.1999999999999998E-3</v>
      </c>
      <c r="N393" s="3">
        <v>1.5E-3</v>
      </c>
      <c r="O393" s="3">
        <v>2.8879999999999999</v>
      </c>
      <c r="P393" s="3">
        <v>0.13400000000000001</v>
      </c>
      <c r="Q393" s="4">
        <v>0.96</v>
      </c>
      <c r="R393" s="5">
        <v>20</v>
      </c>
      <c r="S393" s="2">
        <v>1.2</v>
      </c>
      <c r="T393" s="2">
        <v>5.8</v>
      </c>
      <c r="U393" s="6">
        <v>6.6</v>
      </c>
      <c r="V393" s="6">
        <v>0.5</v>
      </c>
      <c r="W393" s="6" t="s">
        <v>96</v>
      </c>
      <c r="X393" s="1" t="s">
        <v>451</v>
      </c>
      <c r="Y393" s="1" t="s">
        <v>143</v>
      </c>
      <c r="Z393" s="1" t="s">
        <v>284</v>
      </c>
      <c r="AA393" s="6" t="s">
        <v>361</v>
      </c>
    </row>
    <row r="394" spans="1:27" x14ac:dyDescent="0.3">
      <c r="A394" s="1" t="s">
        <v>73</v>
      </c>
      <c r="B394" s="1" t="s">
        <v>280</v>
      </c>
      <c r="D394" s="1" t="s">
        <v>291</v>
      </c>
      <c r="F394" s="1" t="s">
        <v>292</v>
      </c>
      <c r="K394" s="1" t="s">
        <v>36</v>
      </c>
      <c r="L394" s="1" t="s">
        <v>316</v>
      </c>
      <c r="M394" s="3">
        <v>1.2E-2</v>
      </c>
      <c r="N394" s="3">
        <v>1.4E-3</v>
      </c>
      <c r="O394" s="3">
        <v>3.0960000000000001</v>
      </c>
      <c r="P394" s="3">
        <v>0.129</v>
      </c>
      <c r="Q394" s="4">
        <v>0.96</v>
      </c>
      <c r="R394" s="5">
        <v>28</v>
      </c>
      <c r="S394" s="2">
        <v>1.3</v>
      </c>
      <c r="T394" s="2">
        <v>4.3</v>
      </c>
      <c r="U394" s="6">
        <v>4.3</v>
      </c>
      <c r="V394" s="6">
        <v>1.2</v>
      </c>
      <c r="W394" s="6" t="s">
        <v>96</v>
      </c>
      <c r="X394" s="1" t="s">
        <v>451</v>
      </c>
      <c r="Y394" s="1" t="s">
        <v>143</v>
      </c>
      <c r="Z394" s="1" t="s">
        <v>284</v>
      </c>
      <c r="AA394" s="6" t="s">
        <v>361</v>
      </c>
    </row>
    <row r="395" spans="1:27" x14ac:dyDescent="0.3">
      <c r="A395" s="1" t="s">
        <v>73</v>
      </c>
      <c r="B395" s="1" t="s">
        <v>280</v>
      </c>
      <c r="D395" s="1" t="s">
        <v>293</v>
      </c>
      <c r="F395" s="1" t="s">
        <v>294</v>
      </c>
      <c r="K395" s="1" t="s">
        <v>37</v>
      </c>
      <c r="M395" s="3">
        <v>4.8999999999999998E-3</v>
      </c>
      <c r="N395" s="3">
        <v>5.9999999999999995E-4</v>
      </c>
      <c r="O395" s="3">
        <v>2.62</v>
      </c>
      <c r="P395" s="3">
        <v>0.308</v>
      </c>
      <c r="Q395" s="4">
        <v>0.69</v>
      </c>
      <c r="R395" s="5">
        <v>58</v>
      </c>
      <c r="S395" s="2">
        <v>1.4</v>
      </c>
      <c r="T395" s="2">
        <v>12</v>
      </c>
      <c r="U395" s="6"/>
      <c r="V395" s="6"/>
      <c r="W395" s="6" t="s">
        <v>9</v>
      </c>
      <c r="X395" s="1" t="s">
        <v>451</v>
      </c>
      <c r="Y395" s="1" t="s">
        <v>142</v>
      </c>
      <c r="Z395" s="1" t="s">
        <v>284</v>
      </c>
      <c r="AA395" s="6" t="s">
        <v>361</v>
      </c>
    </row>
    <row r="396" spans="1:27" x14ac:dyDescent="0.3">
      <c r="A396" s="1" t="s">
        <v>73</v>
      </c>
      <c r="B396" s="1" t="s">
        <v>280</v>
      </c>
      <c r="D396" s="1" t="s">
        <v>293</v>
      </c>
      <c r="F396" s="1" t="s">
        <v>294</v>
      </c>
      <c r="K396" s="1" t="s">
        <v>37</v>
      </c>
      <c r="M396" s="3">
        <v>4.4999999999999997E-3</v>
      </c>
      <c r="N396" s="3">
        <v>5.0000000000000001E-4</v>
      </c>
      <c r="O396" s="3">
        <v>2.7210000000000001</v>
      </c>
      <c r="P396" s="3">
        <v>0.3</v>
      </c>
      <c r="Q396" s="4">
        <v>0.83</v>
      </c>
      <c r="R396" s="5">
        <v>47</v>
      </c>
      <c r="S396" s="2">
        <v>1.1000000000000001</v>
      </c>
      <c r="T396" s="2">
        <v>11.8</v>
      </c>
      <c r="U396" s="6"/>
      <c r="V396" s="6"/>
      <c r="W396" s="6" t="s">
        <v>14</v>
      </c>
      <c r="X396" s="1" t="s">
        <v>451</v>
      </c>
      <c r="Y396" s="1" t="s">
        <v>142</v>
      </c>
      <c r="Z396" s="1" t="s">
        <v>284</v>
      </c>
      <c r="AA396" s="6" t="s">
        <v>361</v>
      </c>
    </row>
    <row r="397" spans="1:27" x14ac:dyDescent="0.3">
      <c r="A397" s="1" t="s">
        <v>73</v>
      </c>
      <c r="B397" s="1" t="s">
        <v>280</v>
      </c>
      <c r="D397" s="1" t="s">
        <v>293</v>
      </c>
      <c r="F397" s="1" t="s">
        <v>295</v>
      </c>
      <c r="G397" s="1" t="s">
        <v>296</v>
      </c>
      <c r="K397" s="1" t="s">
        <v>37</v>
      </c>
      <c r="M397" s="3">
        <v>5.7999999999999996E-3</v>
      </c>
      <c r="N397" s="3">
        <v>2.9999999999999997E-4</v>
      </c>
      <c r="O397" s="3">
        <v>2.4910000000000001</v>
      </c>
      <c r="P397" s="3">
        <v>0.14299999999999999</v>
      </c>
      <c r="Q397" s="4">
        <v>0.93</v>
      </c>
      <c r="R397" s="5">
        <v>26</v>
      </c>
      <c r="S397" s="2">
        <v>2.4</v>
      </c>
      <c r="T397" s="2">
        <v>10</v>
      </c>
      <c r="U397" s="6"/>
      <c r="V397" s="6"/>
      <c r="W397" s="6" t="s">
        <v>91</v>
      </c>
      <c r="X397" s="1" t="s">
        <v>451</v>
      </c>
      <c r="Y397" s="1" t="s">
        <v>141</v>
      </c>
      <c r="Z397" s="1" t="s">
        <v>284</v>
      </c>
      <c r="AA397" s="6" t="s">
        <v>361</v>
      </c>
    </row>
    <row r="398" spans="1:27" x14ac:dyDescent="0.3">
      <c r="A398" s="1" t="s">
        <v>73</v>
      </c>
      <c r="B398" s="1" t="s">
        <v>280</v>
      </c>
      <c r="D398" s="1" t="s">
        <v>293</v>
      </c>
      <c r="F398" s="1" t="s">
        <v>295</v>
      </c>
      <c r="G398" s="1" t="s">
        <v>298</v>
      </c>
      <c r="K398" s="1" t="s">
        <v>37</v>
      </c>
      <c r="M398" s="3">
        <v>5.3E-3</v>
      </c>
      <c r="N398" s="3">
        <v>3.0000000000000001E-5</v>
      </c>
      <c r="O398" s="3">
        <v>1.179</v>
      </c>
      <c r="P398" s="3">
        <v>0.17899999999999999</v>
      </c>
      <c r="Q398" s="4">
        <v>0.9</v>
      </c>
      <c r="R398" s="5">
        <v>43</v>
      </c>
      <c r="S398" s="2">
        <v>2.6</v>
      </c>
      <c r="T398" s="2">
        <v>9</v>
      </c>
      <c r="U398" s="6"/>
      <c r="V398" s="6"/>
      <c r="W398" s="6" t="s">
        <v>91</v>
      </c>
      <c r="X398" s="1" t="s">
        <v>451</v>
      </c>
      <c r="Y398" s="1" t="s">
        <v>141</v>
      </c>
      <c r="Z398" s="1" t="s">
        <v>284</v>
      </c>
      <c r="AA398" s="6" t="s">
        <v>361</v>
      </c>
    </row>
    <row r="399" spans="1:27" x14ac:dyDescent="0.3">
      <c r="A399" s="1" t="s">
        <v>73</v>
      </c>
      <c r="B399" s="1" t="s">
        <v>280</v>
      </c>
      <c r="D399" s="1" t="s">
        <v>293</v>
      </c>
      <c r="F399" s="1" t="s">
        <v>295</v>
      </c>
      <c r="G399" s="1" t="s">
        <v>299</v>
      </c>
      <c r="K399" s="1" t="s">
        <v>37</v>
      </c>
      <c r="M399" s="3">
        <v>4.1000000000000003E-3</v>
      </c>
      <c r="N399" s="3"/>
      <c r="O399" s="3">
        <v>2.97</v>
      </c>
      <c r="P399" s="3"/>
      <c r="Q399" s="4">
        <v>0.69</v>
      </c>
      <c r="R399" s="5">
        <v>50</v>
      </c>
      <c r="S399" s="2"/>
      <c r="T399" s="2"/>
      <c r="U399" s="6"/>
      <c r="V399" s="6"/>
      <c r="W399" s="6" t="s">
        <v>197</v>
      </c>
      <c r="X399" s="1" t="s">
        <v>451</v>
      </c>
      <c r="Y399" s="1" t="s">
        <v>320</v>
      </c>
      <c r="Z399" s="1" t="s">
        <v>284</v>
      </c>
      <c r="AA399" s="6" t="s">
        <v>361</v>
      </c>
    </row>
    <row r="400" spans="1:27" x14ac:dyDescent="0.3">
      <c r="A400" s="1" t="s">
        <v>73</v>
      </c>
      <c r="B400" s="1" t="s">
        <v>280</v>
      </c>
      <c r="D400" s="1" t="s">
        <v>293</v>
      </c>
      <c r="F400" s="1" t="s">
        <v>295</v>
      </c>
      <c r="G400" s="1" t="s">
        <v>300</v>
      </c>
      <c r="K400" s="1" t="s">
        <v>36</v>
      </c>
      <c r="M400" s="3">
        <v>7.4000000000000003E-3</v>
      </c>
      <c r="N400" s="3">
        <v>1E-3</v>
      </c>
      <c r="O400" s="3">
        <v>2.6659999999999999</v>
      </c>
      <c r="P400" s="3">
        <v>7.2999999999999995E-2</v>
      </c>
      <c r="Q400" s="4">
        <v>0.99</v>
      </c>
      <c r="R400" s="5">
        <v>20</v>
      </c>
      <c r="S400" s="2">
        <v>1</v>
      </c>
      <c r="T400" s="2">
        <v>14.4</v>
      </c>
      <c r="U400" s="6">
        <v>10.7</v>
      </c>
      <c r="V400" s="6">
        <v>0.6</v>
      </c>
      <c r="W400" s="6" t="s">
        <v>96</v>
      </c>
      <c r="X400" s="1" t="s">
        <v>451</v>
      </c>
      <c r="Y400" s="1" t="s">
        <v>143</v>
      </c>
      <c r="Z400" s="1" t="s">
        <v>284</v>
      </c>
      <c r="AA400" s="6" t="s">
        <v>361</v>
      </c>
    </row>
    <row r="401" spans="1:27" x14ac:dyDescent="0.3">
      <c r="A401" s="1" t="s">
        <v>73</v>
      </c>
      <c r="B401" s="1" t="s">
        <v>280</v>
      </c>
      <c r="D401" s="1" t="s">
        <v>293</v>
      </c>
      <c r="F401" s="1" t="s">
        <v>295</v>
      </c>
      <c r="K401" s="1" t="s">
        <v>37</v>
      </c>
      <c r="M401" s="3">
        <v>5.1000000000000004E-3</v>
      </c>
      <c r="N401" s="3">
        <v>6.9999999999999999E-4</v>
      </c>
      <c r="O401" s="3">
        <v>2.8239999999999998</v>
      </c>
      <c r="P401" s="3">
        <v>0.28899999999999998</v>
      </c>
      <c r="Q401" s="4">
        <v>0.79</v>
      </c>
      <c r="R401" s="5">
        <v>122</v>
      </c>
      <c r="S401" s="2">
        <v>1.6</v>
      </c>
      <c r="T401" s="2">
        <v>15.1</v>
      </c>
      <c r="U401" s="6"/>
      <c r="V401" s="6"/>
      <c r="W401" s="6" t="s">
        <v>9</v>
      </c>
      <c r="X401" s="1" t="s">
        <v>451</v>
      </c>
      <c r="Y401" s="1" t="s">
        <v>142</v>
      </c>
      <c r="Z401" s="1" t="s">
        <v>284</v>
      </c>
      <c r="AA401" s="6" t="s">
        <v>361</v>
      </c>
    </row>
    <row r="402" spans="1:27" x14ac:dyDescent="0.3">
      <c r="A402" s="1" t="s">
        <v>73</v>
      </c>
      <c r="B402" s="1" t="s">
        <v>280</v>
      </c>
      <c r="D402" s="1" t="s">
        <v>293</v>
      </c>
      <c r="F402" s="1" t="s">
        <v>295</v>
      </c>
      <c r="K402" s="1" t="s">
        <v>37</v>
      </c>
      <c r="M402" s="3">
        <v>6.0000000000000001E-3</v>
      </c>
      <c r="N402" s="3">
        <v>8.9999999999999998E-4</v>
      </c>
      <c r="O402" s="3">
        <v>2.7080000000000002</v>
      </c>
      <c r="P402" s="3">
        <v>0.32300000000000001</v>
      </c>
      <c r="Q402" s="4">
        <v>0.71</v>
      </c>
      <c r="R402" s="5">
        <v>36</v>
      </c>
      <c r="S402" s="2">
        <v>1.3</v>
      </c>
      <c r="T402" s="2">
        <v>14.3</v>
      </c>
      <c r="U402" s="6"/>
      <c r="V402" s="6"/>
      <c r="W402" s="6" t="s">
        <v>14</v>
      </c>
      <c r="X402" s="1" t="s">
        <v>451</v>
      </c>
      <c r="Y402" s="1" t="s">
        <v>142</v>
      </c>
      <c r="Z402" s="1" t="s">
        <v>284</v>
      </c>
      <c r="AA402" s="6" t="s">
        <v>361</v>
      </c>
    </row>
    <row r="403" spans="1:27" x14ac:dyDescent="0.3">
      <c r="A403" s="1" t="s">
        <v>73</v>
      </c>
      <c r="B403" s="1" t="s">
        <v>280</v>
      </c>
      <c r="D403" s="1" t="s">
        <v>293</v>
      </c>
      <c r="F403" s="1" t="s">
        <v>297</v>
      </c>
      <c r="G403" s="1" t="s">
        <v>127</v>
      </c>
      <c r="K403" s="1" t="s">
        <v>37</v>
      </c>
      <c r="M403" s="3">
        <v>2.5999999999999999E-3</v>
      </c>
      <c r="N403" s="3">
        <v>2.9999999999999997E-4</v>
      </c>
      <c r="O403" s="3">
        <v>3.117</v>
      </c>
      <c r="P403" s="3">
        <v>0.26300000000000001</v>
      </c>
      <c r="Q403" s="4">
        <v>0.88</v>
      </c>
      <c r="R403" s="5">
        <v>16</v>
      </c>
      <c r="S403" s="2">
        <v>1.8</v>
      </c>
      <c r="T403" s="2">
        <v>15</v>
      </c>
      <c r="U403" s="6"/>
      <c r="V403" s="6"/>
      <c r="W403" s="6" t="s">
        <v>9</v>
      </c>
      <c r="X403" s="1" t="s">
        <v>451</v>
      </c>
      <c r="Y403" s="1" t="s">
        <v>142</v>
      </c>
      <c r="Z403" s="1" t="s">
        <v>284</v>
      </c>
      <c r="AA403" s="6" t="s">
        <v>361</v>
      </c>
    </row>
    <row r="404" spans="1:27" x14ac:dyDescent="0.3">
      <c r="A404" s="1" t="s">
        <v>73</v>
      </c>
      <c r="B404" s="1" t="s">
        <v>280</v>
      </c>
      <c r="D404" s="1" t="s">
        <v>293</v>
      </c>
      <c r="F404" s="1" t="s">
        <v>297</v>
      </c>
      <c r="G404" s="1" t="s">
        <v>127</v>
      </c>
      <c r="K404" s="1" t="s">
        <v>37</v>
      </c>
      <c r="M404" s="3">
        <v>3.8999999999999998E-3</v>
      </c>
      <c r="N404" s="3">
        <v>2.9999999999999997E-4</v>
      </c>
      <c r="O404" s="3">
        <v>2.9660000000000002</v>
      </c>
      <c r="P404" s="3">
        <v>0.217</v>
      </c>
      <c r="Q404" s="4">
        <v>0.73</v>
      </c>
      <c r="R404" s="5">
        <v>71</v>
      </c>
      <c r="S404" s="2">
        <v>4</v>
      </c>
      <c r="T404" s="2">
        <v>13.5</v>
      </c>
      <c r="U404" s="6"/>
      <c r="V404" s="6"/>
      <c r="W404" s="6" t="s">
        <v>91</v>
      </c>
      <c r="X404" s="1" t="s">
        <v>451</v>
      </c>
      <c r="Y404" s="1" t="s">
        <v>141</v>
      </c>
      <c r="Z404" s="1" t="s">
        <v>284</v>
      </c>
      <c r="AA404" s="6" t="s">
        <v>361</v>
      </c>
    </row>
    <row r="405" spans="1:27" x14ac:dyDescent="0.3">
      <c r="A405" s="1" t="s">
        <v>73</v>
      </c>
      <c r="B405" s="1" t="s">
        <v>280</v>
      </c>
      <c r="D405" s="1" t="s">
        <v>301</v>
      </c>
      <c r="F405" s="1" t="s">
        <v>302</v>
      </c>
      <c r="K405" s="1" t="s">
        <v>37</v>
      </c>
      <c r="M405" s="3">
        <v>7.9000000000000008E-3</v>
      </c>
      <c r="N405" s="3">
        <v>8.9999999999999998E-4</v>
      </c>
      <c r="O405" s="3">
        <v>2.649</v>
      </c>
      <c r="P405" s="3">
        <v>0.13500000000000001</v>
      </c>
      <c r="Q405" s="4">
        <v>0.78</v>
      </c>
      <c r="R405" s="5">
        <v>33</v>
      </c>
      <c r="S405" s="2">
        <v>1</v>
      </c>
      <c r="T405" s="2">
        <v>9.1</v>
      </c>
      <c r="U405" s="6"/>
      <c r="V405" s="6"/>
      <c r="W405" s="6" t="s">
        <v>14</v>
      </c>
      <c r="X405" s="1" t="s">
        <v>451</v>
      </c>
      <c r="Y405" s="1" t="s">
        <v>142</v>
      </c>
      <c r="Z405" s="1" t="s">
        <v>284</v>
      </c>
      <c r="AA405" s="6" t="s">
        <v>361</v>
      </c>
    </row>
    <row r="406" spans="1:27" x14ac:dyDescent="0.3">
      <c r="A406" s="1" t="s">
        <v>73</v>
      </c>
      <c r="B406" s="1" t="s">
        <v>280</v>
      </c>
      <c r="D406" s="1" t="s">
        <v>303</v>
      </c>
      <c r="F406" s="1" t="s">
        <v>304</v>
      </c>
      <c r="K406" s="1" t="s">
        <v>37</v>
      </c>
      <c r="M406" s="3">
        <v>3.3999999999999998E-3</v>
      </c>
      <c r="N406" s="3">
        <v>5.9999999999999995E-4</v>
      </c>
      <c r="O406" s="3">
        <v>3.2120000000000002</v>
      </c>
      <c r="P406" s="3">
        <v>0.251</v>
      </c>
      <c r="Q406" s="4">
        <v>0.71</v>
      </c>
      <c r="R406" s="5">
        <v>23</v>
      </c>
      <c r="S406" s="2">
        <v>1.2</v>
      </c>
      <c r="T406" s="2">
        <v>8</v>
      </c>
      <c r="U406" s="6"/>
      <c r="V406" s="6"/>
      <c r="W406" s="6" t="s">
        <v>14</v>
      </c>
      <c r="X406" s="1" t="s">
        <v>451</v>
      </c>
      <c r="Y406" s="1" t="s">
        <v>142</v>
      </c>
      <c r="Z406" s="1" t="s">
        <v>284</v>
      </c>
      <c r="AA406" s="6" t="s">
        <v>361</v>
      </c>
    </row>
    <row r="407" spans="1:27" x14ac:dyDescent="0.3">
      <c r="A407" s="1" t="s">
        <v>73</v>
      </c>
      <c r="B407" s="1" t="s">
        <v>280</v>
      </c>
      <c r="D407" s="1" t="s">
        <v>305</v>
      </c>
      <c r="F407" s="1" t="s">
        <v>306</v>
      </c>
      <c r="G407" s="1" t="s">
        <v>307</v>
      </c>
      <c r="K407" s="1" t="s">
        <v>37</v>
      </c>
      <c r="M407" s="3">
        <v>4.1000000000000003E-3</v>
      </c>
      <c r="N407" s="3">
        <v>4.0000000000000002E-4</v>
      </c>
      <c r="O407" s="3">
        <v>2.9329999999999998</v>
      </c>
      <c r="P407" s="3">
        <v>0.19900000000000001</v>
      </c>
      <c r="Q407" s="4">
        <v>0.61</v>
      </c>
      <c r="R407" s="5">
        <v>18</v>
      </c>
      <c r="S407" s="2">
        <v>2.5</v>
      </c>
      <c r="T407" s="2">
        <v>17.3</v>
      </c>
      <c r="U407" s="6"/>
      <c r="V407" s="6"/>
      <c r="W407" s="6" t="s">
        <v>14</v>
      </c>
      <c r="X407" s="1" t="s">
        <v>451</v>
      </c>
      <c r="Y407" s="1" t="s">
        <v>142</v>
      </c>
      <c r="Z407" s="1" t="s">
        <v>284</v>
      </c>
      <c r="AA407" s="6" t="s">
        <v>361</v>
      </c>
    </row>
    <row r="408" spans="1:27" x14ac:dyDescent="0.3">
      <c r="A408" s="1" t="s">
        <v>73</v>
      </c>
      <c r="B408" s="1" t="s">
        <v>280</v>
      </c>
      <c r="D408" s="1" t="s">
        <v>305</v>
      </c>
      <c r="F408" s="1" t="s">
        <v>308</v>
      </c>
      <c r="K408" s="1" t="s">
        <v>36</v>
      </c>
      <c r="M408" s="3">
        <v>1.5E-3</v>
      </c>
      <c r="N408" s="3">
        <v>8.0000000000000004E-4</v>
      </c>
      <c r="O408" s="3">
        <v>3.1150000000000002</v>
      </c>
      <c r="P408" s="3">
        <v>0.214</v>
      </c>
      <c r="Q408" s="4">
        <v>0.87</v>
      </c>
      <c r="R408" s="5">
        <v>32</v>
      </c>
      <c r="S408" s="2">
        <v>5.6</v>
      </c>
      <c r="T408" s="2">
        <v>19.2</v>
      </c>
      <c r="U408" s="6">
        <v>10.7</v>
      </c>
      <c r="V408" s="6">
        <v>0.9</v>
      </c>
      <c r="W408" s="6" t="s">
        <v>196</v>
      </c>
      <c r="X408" s="1" t="s">
        <v>451</v>
      </c>
      <c r="Y408" s="1" t="s">
        <v>143</v>
      </c>
      <c r="Z408" s="1" t="s">
        <v>284</v>
      </c>
      <c r="AA408" s="6" t="s">
        <v>361</v>
      </c>
    </row>
    <row r="409" spans="1:27" x14ac:dyDescent="0.3">
      <c r="A409" s="1" t="s">
        <v>73</v>
      </c>
      <c r="B409" s="1" t="s">
        <v>280</v>
      </c>
      <c r="D409" s="1" t="s">
        <v>305</v>
      </c>
      <c r="F409" s="1" t="s">
        <v>309</v>
      </c>
      <c r="G409" s="1" t="s">
        <v>310</v>
      </c>
      <c r="K409" s="1" t="s">
        <v>37</v>
      </c>
      <c r="M409" s="3">
        <v>5.1999999999999998E-3</v>
      </c>
      <c r="N409" s="3">
        <v>2.9999999999999997E-4</v>
      </c>
      <c r="O409" s="3">
        <v>2.8319999999999999</v>
      </c>
      <c r="P409" s="3">
        <v>0.111</v>
      </c>
      <c r="Q409" s="4">
        <v>0.92</v>
      </c>
      <c r="R409" s="5">
        <v>47</v>
      </c>
      <c r="S409" s="2">
        <v>2.8</v>
      </c>
      <c r="T409" s="2">
        <v>17.899999999999999</v>
      </c>
      <c r="U409" s="6"/>
      <c r="V409" s="6"/>
      <c r="W409" s="6" t="s">
        <v>14</v>
      </c>
      <c r="X409" s="1" t="s">
        <v>451</v>
      </c>
      <c r="Y409" s="1" t="s">
        <v>142</v>
      </c>
      <c r="Z409" s="1" t="s">
        <v>284</v>
      </c>
      <c r="AA409" s="6" t="s">
        <v>361</v>
      </c>
    </row>
    <row r="410" spans="1:27" x14ac:dyDescent="0.3">
      <c r="A410" s="1" t="s">
        <v>73</v>
      </c>
      <c r="B410" s="1" t="s">
        <v>280</v>
      </c>
      <c r="D410" s="1" t="s">
        <v>305</v>
      </c>
      <c r="F410" s="1" t="s">
        <v>309</v>
      </c>
      <c r="G410" s="1" t="s">
        <v>311</v>
      </c>
      <c r="K410" s="1" t="s">
        <v>37</v>
      </c>
      <c r="M410" s="3">
        <v>4.8999999999999998E-3</v>
      </c>
      <c r="N410" s="3">
        <v>2.9999999999999997E-4</v>
      </c>
      <c r="O410" s="3">
        <v>2.85</v>
      </c>
      <c r="P410" s="3">
        <v>0.28199999999999997</v>
      </c>
      <c r="Q410" s="4">
        <v>0.87</v>
      </c>
      <c r="R410" s="5">
        <v>27</v>
      </c>
      <c r="S410" s="2">
        <v>3.1</v>
      </c>
      <c r="T410" s="2">
        <v>23.8</v>
      </c>
      <c r="U410" s="6"/>
      <c r="V410" s="6"/>
      <c r="W410" s="6" t="s">
        <v>14</v>
      </c>
      <c r="X410" s="1" t="s">
        <v>451</v>
      </c>
      <c r="Y410" s="1" t="s">
        <v>142</v>
      </c>
      <c r="Z410" s="1" t="s">
        <v>284</v>
      </c>
      <c r="AA410" s="6" t="s">
        <v>361</v>
      </c>
    </row>
    <row r="411" spans="1:27" x14ac:dyDescent="0.3">
      <c r="A411" s="1" t="s">
        <v>73</v>
      </c>
      <c r="B411" s="1" t="s">
        <v>280</v>
      </c>
      <c r="D411" s="1" t="s">
        <v>312</v>
      </c>
      <c r="F411" s="1" t="s">
        <v>313</v>
      </c>
      <c r="K411" s="1" t="s">
        <v>37</v>
      </c>
      <c r="M411" s="3">
        <v>8.2000000000000007E-3</v>
      </c>
      <c r="N411" s="3">
        <v>1E-3</v>
      </c>
      <c r="O411" s="3">
        <v>2.7349999999999999</v>
      </c>
      <c r="P411" s="3">
        <v>0.2</v>
      </c>
      <c r="Q411" s="4">
        <v>0.76</v>
      </c>
      <c r="R411" s="5">
        <v>18</v>
      </c>
      <c r="S411" s="2">
        <v>1.5</v>
      </c>
      <c r="T411" s="2">
        <v>13</v>
      </c>
      <c r="U411" s="6"/>
      <c r="V411" s="6"/>
      <c r="W411" s="6" t="s">
        <v>14</v>
      </c>
      <c r="X411" s="1" t="s">
        <v>451</v>
      </c>
      <c r="Y411" s="1" t="s">
        <v>142</v>
      </c>
      <c r="Z411" s="1" t="s">
        <v>284</v>
      </c>
      <c r="AA411" s="6" t="s">
        <v>361</v>
      </c>
    </row>
    <row r="412" spans="1:27" x14ac:dyDescent="0.3">
      <c r="A412" s="1" t="s">
        <v>73</v>
      </c>
      <c r="B412" s="1" t="s">
        <v>280</v>
      </c>
      <c r="D412" s="1" t="s">
        <v>312</v>
      </c>
      <c r="F412" s="1" t="s">
        <v>313</v>
      </c>
      <c r="K412" s="1" t="s">
        <v>36</v>
      </c>
      <c r="M412" s="3">
        <v>6.4000000000000003E-3</v>
      </c>
      <c r="N412" s="3">
        <v>8.0000000000000004E-4</v>
      </c>
      <c r="O412" s="3">
        <v>3.2410000000000001</v>
      </c>
      <c r="P412" s="3">
        <v>9.0999999999999998E-2</v>
      </c>
      <c r="Q412" s="4">
        <v>0.99</v>
      </c>
      <c r="R412" s="5">
        <v>19</v>
      </c>
      <c r="S412" s="2">
        <v>0.9</v>
      </c>
      <c r="T412" s="2">
        <v>9.1</v>
      </c>
      <c r="U412" s="6">
        <v>11.3</v>
      </c>
      <c r="V412" s="6">
        <v>2.1</v>
      </c>
      <c r="W412" s="6" t="s">
        <v>96</v>
      </c>
      <c r="X412" s="1" t="s">
        <v>451</v>
      </c>
      <c r="Y412" s="1" t="s">
        <v>143</v>
      </c>
      <c r="Z412" s="1" t="s">
        <v>284</v>
      </c>
      <c r="AA412" s="6" t="s">
        <v>361</v>
      </c>
    </row>
    <row r="413" spans="1:27" x14ac:dyDescent="0.3">
      <c r="A413" s="1" t="s">
        <v>73</v>
      </c>
      <c r="B413" s="1" t="s">
        <v>280</v>
      </c>
      <c r="D413" s="1" t="s">
        <v>314</v>
      </c>
      <c r="F413" s="1" t="s">
        <v>315</v>
      </c>
      <c r="K413" s="1" t="s">
        <v>37</v>
      </c>
      <c r="M413" s="3">
        <v>4.8999999999999998E-3</v>
      </c>
      <c r="N413" s="3">
        <v>8.0000000000000004E-4</v>
      </c>
      <c r="O413" s="3">
        <v>2.48</v>
      </c>
      <c r="P413" s="3">
        <v>0.20499999999999999</v>
      </c>
      <c r="Q413" s="4">
        <v>0.78</v>
      </c>
      <c r="R413" s="5">
        <v>34</v>
      </c>
      <c r="S413" s="2">
        <v>1.6</v>
      </c>
      <c r="T413" s="2">
        <v>10.199999999999999</v>
      </c>
      <c r="U413" s="6"/>
      <c r="V413" s="6"/>
      <c r="W413" s="6" t="s">
        <v>9</v>
      </c>
      <c r="X413" s="1" t="s">
        <v>451</v>
      </c>
      <c r="Y413" s="1" t="s">
        <v>142</v>
      </c>
      <c r="Z413" s="1" t="s">
        <v>284</v>
      </c>
      <c r="AA413" s="6" t="s">
        <v>361</v>
      </c>
    </row>
    <row r="414" spans="1:27" x14ac:dyDescent="0.3">
      <c r="A414" s="1" t="s">
        <v>73</v>
      </c>
      <c r="B414" s="1" t="s">
        <v>280</v>
      </c>
      <c r="D414" s="1" t="s">
        <v>314</v>
      </c>
      <c r="F414" s="1" t="s">
        <v>315</v>
      </c>
      <c r="K414" s="1" t="s">
        <v>37</v>
      </c>
      <c r="M414" s="3">
        <v>5.0000000000000001E-3</v>
      </c>
      <c r="N414" s="3">
        <v>8.9999999999999998E-4</v>
      </c>
      <c r="O414" s="3">
        <v>2.4009999999999998</v>
      </c>
      <c r="P414" s="3">
        <v>0.59799999999999998</v>
      </c>
      <c r="Q414" s="4">
        <v>0.64</v>
      </c>
      <c r="R414" s="5">
        <v>29</v>
      </c>
      <c r="S414" s="2">
        <v>1.8</v>
      </c>
      <c r="T414" s="2">
        <v>9.4</v>
      </c>
      <c r="U414" s="6"/>
      <c r="V414" s="6"/>
      <c r="W414" s="6" t="s">
        <v>14</v>
      </c>
      <c r="X414" s="1" t="s">
        <v>451</v>
      </c>
      <c r="Y414" s="1" t="s">
        <v>142</v>
      </c>
      <c r="Z414" s="1" t="s">
        <v>284</v>
      </c>
      <c r="AA414" s="6" t="s">
        <v>361</v>
      </c>
    </row>
    <row r="415" spans="1:27" x14ac:dyDescent="0.3">
      <c r="A415" s="1" t="s">
        <v>73</v>
      </c>
      <c r="B415" s="1" t="s">
        <v>280</v>
      </c>
      <c r="D415" s="1" t="s">
        <v>314</v>
      </c>
      <c r="F415" s="1" t="s">
        <v>315</v>
      </c>
      <c r="K415" s="1" t="s">
        <v>36</v>
      </c>
      <c r="M415" s="3">
        <v>4.4000000000000003E-3</v>
      </c>
      <c r="N415" s="3">
        <v>5.9999999999999995E-4</v>
      </c>
      <c r="O415" s="3">
        <v>2.6520000000000001</v>
      </c>
      <c r="P415" s="3">
        <v>9.1999999999999998E-2</v>
      </c>
      <c r="Q415" s="4">
        <v>0.97</v>
      </c>
      <c r="R415" s="5">
        <v>27</v>
      </c>
      <c r="S415" s="2">
        <v>0.8</v>
      </c>
      <c r="T415" s="2">
        <v>11.2</v>
      </c>
      <c r="U415" s="6">
        <v>12.1</v>
      </c>
      <c r="V415" s="6">
        <v>1.5</v>
      </c>
      <c r="W415" s="6" t="s">
        <v>96</v>
      </c>
      <c r="X415" s="1" t="s">
        <v>451</v>
      </c>
      <c r="Y415" s="1" t="s">
        <v>143</v>
      </c>
      <c r="Z415" s="1" t="s">
        <v>284</v>
      </c>
      <c r="AA415" s="6" t="s">
        <v>361</v>
      </c>
    </row>
    <row r="416" spans="1:27" x14ac:dyDescent="0.3">
      <c r="A416" s="1" t="s">
        <v>73</v>
      </c>
      <c r="B416" s="1" t="s">
        <v>280</v>
      </c>
      <c r="D416" s="1" t="s">
        <v>321</v>
      </c>
      <c r="F416" s="1" t="s">
        <v>322</v>
      </c>
      <c r="K416" s="1" t="s">
        <v>37</v>
      </c>
      <c r="M416" s="3">
        <v>5.4000000000000003E-3</v>
      </c>
      <c r="N416" s="3">
        <v>6.9999999999999999E-4</v>
      </c>
      <c r="O416" s="3">
        <v>2.8109999999999999</v>
      </c>
      <c r="P416" s="3">
        <v>0.42599999999999999</v>
      </c>
      <c r="Q416" s="4">
        <v>0.74</v>
      </c>
      <c r="R416" s="5">
        <v>20</v>
      </c>
      <c r="S416" s="2">
        <v>3.8</v>
      </c>
      <c r="T416" s="2">
        <v>28.2</v>
      </c>
      <c r="U416" s="6"/>
      <c r="V416" s="6"/>
      <c r="W416" s="6" t="s">
        <v>14</v>
      </c>
      <c r="X416" s="1" t="s">
        <v>451</v>
      </c>
      <c r="Y416" s="1" t="s">
        <v>15</v>
      </c>
      <c r="Z416" s="1" t="s">
        <v>284</v>
      </c>
      <c r="AA416" s="6" t="s">
        <v>361</v>
      </c>
    </row>
    <row r="417" spans="1:27" x14ac:dyDescent="0.3">
      <c r="A417" s="1" t="s">
        <v>73</v>
      </c>
      <c r="B417" s="1" t="s">
        <v>280</v>
      </c>
      <c r="D417" s="1" t="s">
        <v>323</v>
      </c>
      <c r="F417" s="1" t="s">
        <v>324</v>
      </c>
      <c r="K417" s="1" t="s">
        <v>37</v>
      </c>
      <c r="M417" s="3">
        <v>2.3E-3</v>
      </c>
      <c r="N417" s="3">
        <v>2.0000000000000001E-4</v>
      </c>
      <c r="O417" s="3">
        <v>2.879</v>
      </c>
      <c r="P417" s="3">
        <v>0.499</v>
      </c>
      <c r="Q417" s="4">
        <v>0.61</v>
      </c>
      <c r="R417" s="5">
        <v>23</v>
      </c>
      <c r="S417" s="2">
        <v>6</v>
      </c>
      <c r="T417" s="2">
        <v>11.5</v>
      </c>
      <c r="U417" s="6"/>
      <c r="V417" s="6"/>
      <c r="W417" s="6" t="s">
        <v>91</v>
      </c>
      <c r="X417" s="1" t="s">
        <v>451</v>
      </c>
      <c r="Y417" s="1" t="s">
        <v>98</v>
      </c>
      <c r="Z417" s="1" t="s">
        <v>284</v>
      </c>
      <c r="AA417" s="6" t="s">
        <v>361</v>
      </c>
    </row>
    <row r="418" spans="1:27" x14ac:dyDescent="0.3">
      <c r="A418" s="1" t="s">
        <v>73</v>
      </c>
      <c r="B418" s="1" t="s">
        <v>280</v>
      </c>
      <c r="D418" s="1" t="s">
        <v>323</v>
      </c>
      <c r="F418" s="1" t="s">
        <v>325</v>
      </c>
      <c r="K418" s="1" t="s">
        <v>37</v>
      </c>
      <c r="M418" s="3">
        <v>7.1000000000000004E-3</v>
      </c>
      <c r="N418" s="3">
        <v>1.5E-3</v>
      </c>
      <c r="O418" s="3">
        <v>2.5310000000000001</v>
      </c>
      <c r="P418" s="3">
        <v>0.64700000000000002</v>
      </c>
      <c r="Q418" s="4">
        <v>0.62</v>
      </c>
      <c r="R418" s="5">
        <v>25</v>
      </c>
      <c r="S418" s="2">
        <v>3.1</v>
      </c>
      <c r="T418" s="2">
        <v>14.2</v>
      </c>
      <c r="U418" s="6"/>
      <c r="V418" s="6"/>
      <c r="W418" s="6" t="s">
        <v>14</v>
      </c>
      <c r="X418" s="1" t="s">
        <v>451</v>
      </c>
      <c r="Y418" s="1" t="s">
        <v>15</v>
      </c>
      <c r="Z418" s="1" t="s">
        <v>284</v>
      </c>
      <c r="AA418" s="6" t="s">
        <v>361</v>
      </c>
    </row>
    <row r="419" spans="1:27" x14ac:dyDescent="0.3">
      <c r="A419" s="1" t="s">
        <v>73</v>
      </c>
      <c r="B419" s="1" t="s">
        <v>280</v>
      </c>
      <c r="D419" s="1" t="s">
        <v>326</v>
      </c>
      <c r="F419" s="1" t="s">
        <v>327</v>
      </c>
      <c r="G419" s="1" t="s">
        <v>328</v>
      </c>
      <c r="K419" s="1" t="s">
        <v>37</v>
      </c>
      <c r="M419" s="3">
        <v>3.8999999999999998E-3</v>
      </c>
      <c r="N419" s="3">
        <v>8.0000000000000004E-4</v>
      </c>
      <c r="O419" s="3">
        <v>2.8730000000000002</v>
      </c>
      <c r="P419" s="3">
        <v>0.21</v>
      </c>
      <c r="Q419" s="4">
        <v>0.85</v>
      </c>
      <c r="R419" s="5">
        <v>28</v>
      </c>
      <c r="S419" s="2">
        <v>3.3</v>
      </c>
      <c r="T419" s="2">
        <v>14.1</v>
      </c>
      <c r="U419" s="6"/>
      <c r="V419" s="6"/>
      <c r="W419" s="6" t="s">
        <v>14</v>
      </c>
      <c r="X419" s="1" t="s">
        <v>451</v>
      </c>
      <c r="Y419" s="1" t="s">
        <v>15</v>
      </c>
      <c r="Z419" s="1" t="s">
        <v>284</v>
      </c>
      <c r="AA419" s="6" t="s">
        <v>361</v>
      </c>
    </row>
    <row r="420" spans="1:27" x14ac:dyDescent="0.3">
      <c r="A420" s="1" t="s">
        <v>73</v>
      </c>
      <c r="B420" s="1" t="s">
        <v>280</v>
      </c>
      <c r="D420" s="1" t="s">
        <v>329</v>
      </c>
      <c r="F420" s="1" t="s">
        <v>330</v>
      </c>
      <c r="K420" s="1" t="s">
        <v>37</v>
      </c>
      <c r="M420" s="3">
        <v>9.9000000000000008E-3</v>
      </c>
      <c r="N420" s="3">
        <v>1.1999999999999999E-3</v>
      </c>
      <c r="O420" s="3">
        <v>2.48</v>
      </c>
      <c r="P420" s="3">
        <v>0.38500000000000001</v>
      </c>
      <c r="Q420" s="4">
        <v>0.77</v>
      </c>
      <c r="R420" s="5">
        <v>32</v>
      </c>
      <c r="S420" s="2">
        <v>3.3</v>
      </c>
      <c r="T420" s="2">
        <v>16.600000000000001</v>
      </c>
      <c r="U420" s="6"/>
      <c r="V420" s="6"/>
      <c r="W420" s="6" t="s">
        <v>14</v>
      </c>
      <c r="X420" s="1" t="s">
        <v>451</v>
      </c>
      <c r="Y420" s="1" t="s">
        <v>15</v>
      </c>
      <c r="Z420" s="1" t="s">
        <v>284</v>
      </c>
      <c r="AA420" s="6" t="s">
        <v>361</v>
      </c>
    </row>
    <row r="421" spans="1:27" x14ac:dyDescent="0.3">
      <c r="A421" s="1" t="s">
        <v>73</v>
      </c>
      <c r="B421" s="1" t="s">
        <v>280</v>
      </c>
      <c r="D421" s="1" t="s">
        <v>331</v>
      </c>
      <c r="F421" s="1" t="s">
        <v>332</v>
      </c>
      <c r="G421" s="1" t="s">
        <v>333</v>
      </c>
      <c r="K421" s="1" t="s">
        <v>37</v>
      </c>
      <c r="M421" s="3">
        <v>7.4000000000000003E-3</v>
      </c>
      <c r="N421" s="3">
        <v>8.9999999999999998E-4</v>
      </c>
      <c r="O421" s="3">
        <v>2.7410000000000001</v>
      </c>
      <c r="P421" s="3">
        <v>0.38400000000000001</v>
      </c>
      <c r="Q421" s="4">
        <v>0.83</v>
      </c>
      <c r="R421" s="5">
        <v>41</v>
      </c>
      <c r="S421" s="2">
        <v>3</v>
      </c>
      <c r="T421" s="2">
        <v>15</v>
      </c>
      <c r="U421" s="6"/>
      <c r="V421" s="6"/>
      <c r="W421" s="6" t="s">
        <v>14</v>
      </c>
      <c r="X421" s="1" t="s">
        <v>451</v>
      </c>
      <c r="Y421" s="1" t="s">
        <v>15</v>
      </c>
      <c r="Z421" s="1" t="s">
        <v>284</v>
      </c>
      <c r="AA421" s="6" t="s">
        <v>361</v>
      </c>
    </row>
    <row r="422" spans="1:27" x14ac:dyDescent="0.3">
      <c r="A422" s="1" t="s">
        <v>73</v>
      </c>
      <c r="B422" s="1" t="s">
        <v>280</v>
      </c>
      <c r="D422" s="1" t="s">
        <v>314</v>
      </c>
      <c r="F422" s="1" t="s">
        <v>418</v>
      </c>
      <c r="K422" s="1" t="s">
        <v>37</v>
      </c>
      <c r="M422" s="6">
        <v>4.0800000000000003E-3</v>
      </c>
      <c r="N422" s="6"/>
      <c r="O422" s="6">
        <v>2.82</v>
      </c>
      <c r="P422" s="6"/>
      <c r="Q422" s="4">
        <v>0.88</v>
      </c>
      <c r="R422" s="5">
        <v>28</v>
      </c>
      <c r="S422" s="2">
        <v>2.8</v>
      </c>
      <c r="T422" s="2">
        <v>9.4</v>
      </c>
      <c r="U422" s="6"/>
      <c r="V422" s="6"/>
      <c r="W422" s="6" t="s">
        <v>420</v>
      </c>
      <c r="X422" s="1" t="s">
        <v>451</v>
      </c>
      <c r="Y422" s="1" t="s">
        <v>416</v>
      </c>
    </row>
    <row r="423" spans="1:27" x14ac:dyDescent="0.3">
      <c r="A423" s="1" t="s">
        <v>73</v>
      </c>
      <c r="B423" s="1" t="s">
        <v>280</v>
      </c>
      <c r="F423" s="1" t="s">
        <v>304</v>
      </c>
      <c r="K423" s="1" t="s">
        <v>37</v>
      </c>
      <c r="L423" s="1" t="s">
        <v>435</v>
      </c>
      <c r="M423" s="1">
        <v>8.8715601203796044E-3</v>
      </c>
      <c r="O423" s="1">
        <v>2.5840000000000001</v>
      </c>
      <c r="Q423" s="4">
        <v>0.68</v>
      </c>
      <c r="R423" s="1">
        <v>73</v>
      </c>
      <c r="S423" s="1">
        <v>1.9</v>
      </c>
      <c r="T423" s="1">
        <v>5.6</v>
      </c>
      <c r="W423" s="6" t="s">
        <v>436</v>
      </c>
      <c r="X423" s="6" t="s">
        <v>450</v>
      </c>
      <c r="Y423" s="1" t="s">
        <v>437</v>
      </c>
    </row>
    <row r="424" spans="1:27" x14ac:dyDescent="0.3">
      <c r="A424" s="1" t="s">
        <v>73</v>
      </c>
      <c r="B424" s="1" t="s">
        <v>280</v>
      </c>
      <c r="F424" s="1" t="s">
        <v>427</v>
      </c>
      <c r="K424" s="1" t="s">
        <v>37</v>
      </c>
      <c r="L424" s="1" t="s">
        <v>435</v>
      </c>
      <c r="M424" s="1">
        <v>7.498942093324557E-3</v>
      </c>
      <c r="O424" s="1">
        <v>2.835</v>
      </c>
      <c r="Q424" s="4">
        <v>0.9</v>
      </c>
      <c r="R424" s="1">
        <v>0</v>
      </c>
      <c r="S424" s="1">
        <v>3.65</v>
      </c>
      <c r="T424" s="1">
        <v>10</v>
      </c>
      <c r="W424" s="6" t="s">
        <v>436</v>
      </c>
      <c r="X424" s="6" t="s">
        <v>450</v>
      </c>
      <c r="Y424" s="1" t="s">
        <v>437</v>
      </c>
    </row>
    <row r="425" spans="1:27" x14ac:dyDescent="0.3">
      <c r="A425" s="1" t="s">
        <v>73</v>
      </c>
      <c r="B425" s="1" t="s">
        <v>280</v>
      </c>
      <c r="F425" s="1" t="s">
        <v>428</v>
      </c>
      <c r="K425" s="1" t="s">
        <v>37</v>
      </c>
      <c r="L425" s="1" t="s">
        <v>435</v>
      </c>
      <c r="M425" s="1">
        <v>1.2676518658578453E-2</v>
      </c>
      <c r="O425" s="1">
        <v>2.9009999999999998</v>
      </c>
      <c r="Q425" s="4">
        <v>0.86</v>
      </c>
      <c r="R425" s="1">
        <v>73</v>
      </c>
      <c r="S425" s="1">
        <v>1.28</v>
      </c>
      <c r="T425" s="1">
        <v>3.23</v>
      </c>
      <c r="W425" s="6" t="s">
        <v>436</v>
      </c>
      <c r="X425" s="6" t="s">
        <v>450</v>
      </c>
      <c r="Y425" s="1" t="s">
        <v>437</v>
      </c>
    </row>
    <row r="426" spans="1:27" x14ac:dyDescent="0.3">
      <c r="A426" s="1" t="s">
        <v>73</v>
      </c>
      <c r="B426" s="10" t="s">
        <v>280</v>
      </c>
      <c r="D426" s="10" t="s">
        <v>281</v>
      </c>
      <c r="F426" s="10" t="s">
        <v>287</v>
      </c>
      <c r="G426" s="10" t="s">
        <v>440</v>
      </c>
      <c r="K426" s="1" t="s">
        <v>37</v>
      </c>
      <c r="L426" s="1" t="s">
        <v>457</v>
      </c>
      <c r="M426" s="10">
        <v>1.9E-2</v>
      </c>
      <c r="N426" s="10"/>
      <c r="O426" s="10">
        <v>2.6309999999999998</v>
      </c>
      <c r="Q426" s="16">
        <v>0.76</v>
      </c>
      <c r="R426" s="10">
        <v>71</v>
      </c>
      <c r="S426" s="1">
        <v>0.7</v>
      </c>
      <c r="T426" s="10">
        <v>3.3</v>
      </c>
      <c r="W426" s="1" t="s">
        <v>448</v>
      </c>
      <c r="X426" s="1" t="s">
        <v>451</v>
      </c>
      <c r="Y426" s="1" t="s">
        <v>449</v>
      </c>
    </row>
    <row r="427" spans="1:27" x14ac:dyDescent="0.3">
      <c r="A427" s="1" t="s">
        <v>73</v>
      </c>
      <c r="B427" s="10" t="s">
        <v>280</v>
      </c>
      <c r="D427" s="10" t="s">
        <v>288</v>
      </c>
      <c r="F427" s="10"/>
      <c r="G427" s="10"/>
      <c r="K427" s="1" t="s">
        <v>37</v>
      </c>
      <c r="L427" s="1" t="s">
        <v>457</v>
      </c>
      <c r="M427" s="10">
        <v>2.1999999999999999E-2</v>
      </c>
      <c r="N427" s="10"/>
      <c r="O427" s="10">
        <v>2.524</v>
      </c>
      <c r="Q427" s="16">
        <v>0.65</v>
      </c>
      <c r="R427" s="10">
        <v>77</v>
      </c>
      <c r="T427" s="12"/>
      <c r="W427" s="1" t="s">
        <v>448</v>
      </c>
      <c r="X427" s="1" t="s">
        <v>451</v>
      </c>
      <c r="Y427" s="1" t="s">
        <v>449</v>
      </c>
    </row>
    <row r="428" spans="1:27" x14ac:dyDescent="0.3">
      <c r="A428" s="1" t="s">
        <v>73</v>
      </c>
      <c r="B428" s="10" t="s">
        <v>280</v>
      </c>
      <c r="D428" s="10" t="s">
        <v>288</v>
      </c>
      <c r="F428" s="10" t="s">
        <v>289</v>
      </c>
      <c r="G428" s="10" t="s">
        <v>444</v>
      </c>
      <c r="K428" s="1" t="s">
        <v>37</v>
      </c>
      <c r="L428" s="1" t="s">
        <v>457</v>
      </c>
      <c r="M428" s="10">
        <v>1.0999999999999999E-2</v>
      </c>
      <c r="N428" s="10"/>
      <c r="O428" s="10">
        <v>2.9980000000000002</v>
      </c>
      <c r="Q428" s="16">
        <v>0.64</v>
      </c>
      <c r="R428" s="10">
        <v>39</v>
      </c>
      <c r="S428" s="1">
        <v>2.1</v>
      </c>
      <c r="T428" s="10">
        <v>6.8</v>
      </c>
      <c r="W428" s="1" t="s">
        <v>448</v>
      </c>
      <c r="X428" s="1" t="s">
        <v>451</v>
      </c>
      <c r="Y428" s="1" t="s">
        <v>449</v>
      </c>
    </row>
    <row r="429" spans="1:27" x14ac:dyDescent="0.3">
      <c r="A429" s="1" t="s">
        <v>73</v>
      </c>
      <c r="B429" s="10" t="s">
        <v>280</v>
      </c>
      <c r="D429" s="10" t="s">
        <v>288</v>
      </c>
      <c r="F429" s="10" t="s">
        <v>442</v>
      </c>
      <c r="G429" s="10" t="s">
        <v>443</v>
      </c>
      <c r="K429" s="1" t="s">
        <v>37</v>
      </c>
      <c r="L429" s="1" t="s">
        <v>457</v>
      </c>
      <c r="M429" s="10">
        <v>4.1000000000000002E-2</v>
      </c>
      <c r="N429" s="10"/>
      <c r="O429" s="10">
        <v>2.0659999999999998</v>
      </c>
      <c r="Q429" s="16">
        <v>0.66</v>
      </c>
      <c r="R429" s="10">
        <v>38</v>
      </c>
      <c r="S429" s="1">
        <v>2.2999999999999998</v>
      </c>
      <c r="T429" s="10">
        <v>6.9</v>
      </c>
      <c r="W429" s="1" t="s">
        <v>448</v>
      </c>
      <c r="X429" s="1" t="s">
        <v>451</v>
      </c>
      <c r="Y429" s="1" t="s">
        <v>449</v>
      </c>
    </row>
    <row r="430" spans="1:27" x14ac:dyDescent="0.3">
      <c r="A430" s="1" t="s">
        <v>73</v>
      </c>
      <c r="B430" s="10" t="s">
        <v>280</v>
      </c>
      <c r="D430" s="10" t="s">
        <v>445</v>
      </c>
      <c r="F430" s="10" t="s">
        <v>446</v>
      </c>
      <c r="G430" s="10" t="s">
        <v>447</v>
      </c>
      <c r="K430" s="1" t="s">
        <v>37</v>
      </c>
      <c r="L430" s="1" t="s">
        <v>457</v>
      </c>
      <c r="M430" s="10">
        <v>2.5000000000000001E-2</v>
      </c>
      <c r="N430" s="10"/>
      <c r="O430" s="10">
        <v>2.5750000000000002</v>
      </c>
      <c r="Q430" s="16">
        <v>0.89</v>
      </c>
      <c r="R430" s="10">
        <v>54</v>
      </c>
      <c r="S430" s="1">
        <v>1.8</v>
      </c>
      <c r="T430" s="10">
        <v>11.3</v>
      </c>
      <c r="W430" s="1" t="s">
        <v>448</v>
      </c>
      <c r="X430" s="1" t="s">
        <v>451</v>
      </c>
      <c r="Y430" s="1" t="s">
        <v>449</v>
      </c>
    </row>
    <row r="431" spans="1:27" ht="14.5" x14ac:dyDescent="0.35">
      <c r="A431" s="1" t="s">
        <v>73</v>
      </c>
      <c r="B431" s="1" t="s">
        <v>280</v>
      </c>
      <c r="D431" s="13" t="s">
        <v>454</v>
      </c>
      <c r="F431" s="13" t="s">
        <v>453</v>
      </c>
      <c r="K431" s="1" t="s">
        <v>37</v>
      </c>
      <c r="M431" s="1">
        <f>EXP(-7.73)</f>
        <v>4.3944411710184546E-4</v>
      </c>
      <c r="O431" s="1">
        <v>3.58</v>
      </c>
      <c r="Q431" s="4">
        <v>0.76</v>
      </c>
      <c r="R431" s="1">
        <v>54</v>
      </c>
      <c r="S431" s="1">
        <v>10.4</v>
      </c>
      <c r="T431" s="1">
        <v>28.9</v>
      </c>
      <c r="W431" s="1" t="s">
        <v>455</v>
      </c>
      <c r="X431" s="1" t="s">
        <v>451</v>
      </c>
      <c r="Y431" s="1" t="s">
        <v>456</v>
      </c>
    </row>
    <row r="432" spans="1:27" ht="14.5" x14ac:dyDescent="0.35">
      <c r="A432" s="1" t="s">
        <v>73</v>
      </c>
      <c r="B432" s="1" t="s">
        <v>280</v>
      </c>
      <c r="D432" t="s">
        <v>217</v>
      </c>
      <c r="F432" t="s">
        <v>458</v>
      </c>
      <c r="G432" t="s">
        <v>459</v>
      </c>
      <c r="K432" s="1" t="s">
        <v>37</v>
      </c>
      <c r="M432">
        <v>4.7999999999999996E-3</v>
      </c>
      <c r="O432">
        <v>3.008</v>
      </c>
      <c r="Q432" s="17">
        <v>0.86</v>
      </c>
      <c r="R432">
        <v>104</v>
      </c>
      <c r="S432">
        <v>7.45</v>
      </c>
      <c r="T432" s="14">
        <v>30.64</v>
      </c>
      <c r="W432" s="1" t="s">
        <v>448</v>
      </c>
      <c r="X432" s="1" t="s">
        <v>451</v>
      </c>
      <c r="Y432" s="1" t="s">
        <v>464</v>
      </c>
    </row>
    <row r="433" spans="1:27" ht="14.5" x14ac:dyDescent="0.35">
      <c r="A433" s="1" t="s">
        <v>73</v>
      </c>
      <c r="B433" s="1" t="s">
        <v>280</v>
      </c>
      <c r="D433" t="s">
        <v>217</v>
      </c>
      <c r="F433" t="s">
        <v>229</v>
      </c>
      <c r="G433" t="s">
        <v>460</v>
      </c>
      <c r="K433" s="1" t="s">
        <v>37</v>
      </c>
      <c r="M433">
        <v>1.44E-2</v>
      </c>
      <c r="O433">
        <v>2.714</v>
      </c>
      <c r="Q433" s="17">
        <v>0.92</v>
      </c>
      <c r="R433">
        <v>48</v>
      </c>
      <c r="S433">
        <v>9.6199999999999992</v>
      </c>
      <c r="T433" s="14">
        <v>37.32</v>
      </c>
      <c r="W433" s="1" t="s">
        <v>448</v>
      </c>
      <c r="X433" s="1" t="s">
        <v>451</v>
      </c>
      <c r="Y433" s="1" t="s">
        <v>464</v>
      </c>
    </row>
    <row r="434" spans="1:27" ht="14.5" x14ac:dyDescent="0.35">
      <c r="A434" s="1" t="s">
        <v>73</v>
      </c>
      <c r="B434" s="1" t="s">
        <v>280</v>
      </c>
      <c r="D434" t="s">
        <v>217</v>
      </c>
      <c r="F434" t="s">
        <v>461</v>
      </c>
      <c r="G434" t="s">
        <v>462</v>
      </c>
      <c r="K434" s="1" t="s">
        <v>37</v>
      </c>
      <c r="M434">
        <v>9.2999999999999992E-3</v>
      </c>
      <c r="O434">
        <v>2.7850000000000001</v>
      </c>
      <c r="Q434" s="17">
        <v>0.65</v>
      </c>
      <c r="R434">
        <v>49</v>
      </c>
      <c r="S434">
        <v>12.26</v>
      </c>
      <c r="T434" s="14">
        <v>24.61</v>
      </c>
      <c r="W434" s="1" t="s">
        <v>448</v>
      </c>
      <c r="X434" s="1" t="s">
        <v>451</v>
      </c>
      <c r="Y434" s="1" t="s">
        <v>464</v>
      </c>
    </row>
    <row r="435" spans="1:27" ht="14.5" x14ac:dyDescent="0.35">
      <c r="A435" s="1" t="s">
        <v>73</v>
      </c>
      <c r="B435" s="1" t="s">
        <v>280</v>
      </c>
      <c r="D435" t="s">
        <v>217</v>
      </c>
      <c r="F435" t="s">
        <v>461</v>
      </c>
      <c r="G435" t="s">
        <v>463</v>
      </c>
      <c r="K435" s="1" t="s">
        <v>37</v>
      </c>
      <c r="M435">
        <v>4.6699999999999998E-2</v>
      </c>
      <c r="O435">
        <v>2.2229999999999999</v>
      </c>
      <c r="Q435" s="17">
        <v>0.76</v>
      </c>
      <c r="R435">
        <v>43</v>
      </c>
      <c r="S435">
        <v>11.49</v>
      </c>
      <c r="T435" s="14">
        <v>23.21</v>
      </c>
      <c r="W435" s="1" t="s">
        <v>448</v>
      </c>
      <c r="X435" s="1" t="s">
        <v>451</v>
      </c>
      <c r="Y435" s="1" t="s">
        <v>464</v>
      </c>
    </row>
    <row r="436" spans="1:27" ht="14.5" x14ac:dyDescent="0.35">
      <c r="A436" s="1" t="s">
        <v>73</v>
      </c>
      <c r="B436" s="1" t="s">
        <v>280</v>
      </c>
      <c r="D436" t="s">
        <v>217</v>
      </c>
      <c r="F436" t="s">
        <v>461</v>
      </c>
      <c r="K436" s="1" t="s">
        <v>37</v>
      </c>
      <c r="M436">
        <v>2.5700000000000001E-2</v>
      </c>
      <c r="O436">
        <v>2.4340000000000002</v>
      </c>
      <c r="Q436" s="17">
        <v>0.7</v>
      </c>
      <c r="R436">
        <v>92</v>
      </c>
      <c r="S436">
        <v>11.49</v>
      </c>
      <c r="T436" s="14">
        <v>24.61</v>
      </c>
      <c r="W436" s="1" t="s">
        <v>448</v>
      </c>
      <c r="X436" s="1" t="s">
        <v>451</v>
      </c>
      <c r="Y436" s="1" t="s">
        <v>464</v>
      </c>
    </row>
    <row r="437" spans="1:27" ht="14.5" x14ac:dyDescent="0.35">
      <c r="A437" s="1" t="s">
        <v>73</v>
      </c>
      <c r="B437" s="1" t="s">
        <v>280</v>
      </c>
      <c r="D437" t="s">
        <v>217</v>
      </c>
      <c r="K437" s="1" t="s">
        <v>37</v>
      </c>
      <c r="M437">
        <v>7.7000000000000002E-3</v>
      </c>
      <c r="O437">
        <v>2.8650000000000002</v>
      </c>
      <c r="Q437" s="17">
        <v>0.85</v>
      </c>
      <c r="R437">
        <v>244</v>
      </c>
      <c r="S437">
        <v>7.45</v>
      </c>
      <c r="T437" s="14">
        <v>37.32</v>
      </c>
      <c r="W437" s="1" t="s">
        <v>448</v>
      </c>
      <c r="X437" s="1" t="s">
        <v>451</v>
      </c>
      <c r="Y437" s="1" t="s">
        <v>464</v>
      </c>
    </row>
    <row r="438" spans="1:27" ht="14.5" x14ac:dyDescent="0.35">
      <c r="A438" s="1" t="s">
        <v>73</v>
      </c>
      <c r="B438" s="1" t="s">
        <v>280</v>
      </c>
      <c r="D438" t="s">
        <v>331</v>
      </c>
      <c r="F438" t="s">
        <v>520</v>
      </c>
      <c r="G438" t="s">
        <v>521</v>
      </c>
      <c r="K438" s="1" t="s">
        <v>37</v>
      </c>
      <c r="L438" s="1" t="s">
        <v>548</v>
      </c>
      <c r="M438">
        <v>5.1303310331919108E-2</v>
      </c>
      <c r="N438"/>
      <c r="O438">
        <v>1.45</v>
      </c>
      <c r="P438"/>
      <c r="Q438" s="17">
        <v>0.57999999999999996</v>
      </c>
      <c r="R438">
        <v>21</v>
      </c>
      <c r="S438">
        <v>1.5</v>
      </c>
      <c r="T438">
        <v>5</v>
      </c>
      <c r="U438" s="6"/>
      <c r="V438" s="6"/>
      <c r="W438" s="6" t="s">
        <v>549</v>
      </c>
      <c r="X438" s="6" t="s">
        <v>550</v>
      </c>
      <c r="Y438" t="s">
        <v>551</v>
      </c>
    </row>
    <row r="439" spans="1:27" ht="14.5" x14ac:dyDescent="0.35">
      <c r="A439" s="1" t="s">
        <v>73</v>
      </c>
      <c r="B439" s="1" t="s">
        <v>280</v>
      </c>
      <c r="D439" t="s">
        <v>481</v>
      </c>
      <c r="F439" t="s">
        <v>522</v>
      </c>
      <c r="G439"/>
      <c r="K439" s="1" t="s">
        <v>37</v>
      </c>
      <c r="L439" s="1" t="s">
        <v>548</v>
      </c>
      <c r="M439">
        <v>8.4803801599532685E-3</v>
      </c>
      <c r="N439"/>
      <c r="O439">
        <v>2.79</v>
      </c>
      <c r="P439"/>
      <c r="Q439" s="17">
        <v>0.88</v>
      </c>
      <c r="R439">
        <v>44</v>
      </c>
      <c r="S439">
        <v>3</v>
      </c>
      <c r="T439">
        <v>16</v>
      </c>
      <c r="U439" s="6"/>
      <c r="V439" s="6"/>
      <c r="W439" s="6" t="s">
        <v>549</v>
      </c>
      <c r="X439" s="6" t="s">
        <v>550</v>
      </c>
      <c r="Y439" t="s">
        <v>551</v>
      </c>
    </row>
    <row r="440" spans="1:27" ht="14.5" x14ac:dyDescent="0.35">
      <c r="A440" s="1" t="s">
        <v>73</v>
      </c>
      <c r="B440" s="1" t="s">
        <v>280</v>
      </c>
      <c r="D440" t="s">
        <v>482</v>
      </c>
      <c r="F440" t="s">
        <v>523</v>
      </c>
      <c r="G440"/>
      <c r="K440" s="1" t="s">
        <v>37</v>
      </c>
      <c r="L440" s="1" t="s">
        <v>548</v>
      </c>
      <c r="M440">
        <v>3.8487763976105429E-3</v>
      </c>
      <c r="N440"/>
      <c r="O440">
        <v>2.5099999999999998</v>
      </c>
      <c r="P440"/>
      <c r="Q440" s="17">
        <v>0.95</v>
      </c>
      <c r="R440">
        <v>17</v>
      </c>
      <c r="S440">
        <v>3</v>
      </c>
      <c r="T440">
        <v>13</v>
      </c>
      <c r="U440" s="6"/>
      <c r="V440" s="6"/>
      <c r="W440" s="6" t="s">
        <v>549</v>
      </c>
      <c r="X440" s="6" t="s">
        <v>550</v>
      </c>
      <c r="Y440" t="s">
        <v>551</v>
      </c>
    </row>
    <row r="441" spans="1:27" ht="14.5" x14ac:dyDescent="0.35">
      <c r="A441" s="1" t="s">
        <v>73</v>
      </c>
      <c r="B441" s="1" t="s">
        <v>280</v>
      </c>
      <c r="D441" t="s">
        <v>482</v>
      </c>
      <c r="F441" t="s">
        <v>524</v>
      </c>
      <c r="G441"/>
      <c r="K441" s="1" t="s">
        <v>37</v>
      </c>
      <c r="L441" s="1" t="s">
        <v>548</v>
      </c>
      <c r="M441">
        <v>9.5616019305435045E-3</v>
      </c>
      <c r="N441"/>
      <c r="O441">
        <v>2.4700000000000002</v>
      </c>
      <c r="P441"/>
      <c r="Q441" s="17">
        <v>0.89</v>
      </c>
      <c r="R441">
        <v>24</v>
      </c>
      <c r="S441">
        <v>3.5</v>
      </c>
      <c r="T441">
        <v>13</v>
      </c>
      <c r="U441" s="6"/>
      <c r="V441" s="6"/>
      <c r="W441" s="6" t="s">
        <v>549</v>
      </c>
      <c r="X441" s="6" t="s">
        <v>550</v>
      </c>
      <c r="Y441" t="s">
        <v>551</v>
      </c>
    </row>
    <row r="442" spans="1:27" ht="14.5" x14ac:dyDescent="0.35">
      <c r="A442" s="1" t="s">
        <v>73</v>
      </c>
      <c r="B442" s="1" t="s">
        <v>280</v>
      </c>
      <c r="D442" t="s">
        <v>482</v>
      </c>
      <c r="F442" t="s">
        <v>525</v>
      </c>
      <c r="G442"/>
      <c r="K442" s="1" t="s">
        <v>37</v>
      </c>
      <c r="L442" s="1" t="s">
        <v>548</v>
      </c>
      <c r="M442">
        <v>9.0952771016958155E-3</v>
      </c>
      <c r="N442"/>
      <c r="O442">
        <v>2.37</v>
      </c>
      <c r="P442"/>
      <c r="Q442" s="17">
        <v>0.99</v>
      </c>
      <c r="R442">
        <v>7</v>
      </c>
      <c r="S442">
        <v>2</v>
      </c>
      <c r="T442">
        <v>7.5</v>
      </c>
      <c r="U442" s="6"/>
      <c r="V442" s="6"/>
      <c r="W442" s="6" t="s">
        <v>549</v>
      </c>
      <c r="X442" s="6" t="s">
        <v>550</v>
      </c>
      <c r="Y442" t="s">
        <v>551</v>
      </c>
    </row>
    <row r="443" spans="1:27" ht="14.5" x14ac:dyDescent="0.35">
      <c r="A443" s="1" t="s">
        <v>73</v>
      </c>
      <c r="B443" s="15" t="s">
        <v>280</v>
      </c>
      <c r="D443" s="15" t="s">
        <v>329</v>
      </c>
      <c r="F443" s="15" t="s">
        <v>330</v>
      </c>
      <c r="G443" s="15"/>
      <c r="H443" s="15"/>
      <c r="K443" s="1" t="s">
        <v>37</v>
      </c>
      <c r="M443" s="15">
        <v>4.6661782370309841E-4</v>
      </c>
      <c r="N443" s="15"/>
      <c r="O443" s="15">
        <v>3.36</v>
      </c>
      <c r="Q443" s="18">
        <v>0.88</v>
      </c>
      <c r="R443" s="15">
        <v>24</v>
      </c>
      <c r="S443" s="15">
        <v>3.7</v>
      </c>
      <c r="T443" s="15">
        <v>24.8</v>
      </c>
      <c r="U443" s="6"/>
      <c r="V443" s="6"/>
      <c r="W443" s="6" t="s">
        <v>570</v>
      </c>
      <c r="X443" s="6" t="s">
        <v>550</v>
      </c>
      <c r="Y443" s="1" t="s">
        <v>571</v>
      </c>
    </row>
    <row r="444" spans="1:27" ht="14.5" x14ac:dyDescent="0.35">
      <c r="A444" s="1" t="s">
        <v>73</v>
      </c>
      <c r="B444" s="15" t="s">
        <v>280</v>
      </c>
      <c r="D444" s="15" t="s">
        <v>288</v>
      </c>
      <c r="F444" s="15" t="s">
        <v>289</v>
      </c>
      <c r="G444" s="15"/>
      <c r="H444" s="15"/>
      <c r="K444" s="1" t="s">
        <v>37</v>
      </c>
      <c r="M444" s="15">
        <v>1.2683987510072388E-3</v>
      </c>
      <c r="N444" s="15"/>
      <c r="O444" s="15">
        <v>3.35</v>
      </c>
      <c r="Q444" s="18">
        <v>0.74</v>
      </c>
      <c r="R444" s="15">
        <v>12</v>
      </c>
      <c r="S444" s="15">
        <v>4.0999999999999996</v>
      </c>
      <c r="T444" s="15">
        <v>10.7</v>
      </c>
      <c r="U444" s="6"/>
      <c r="V444" s="6"/>
      <c r="W444" s="6" t="s">
        <v>570</v>
      </c>
      <c r="X444" s="6" t="s">
        <v>550</v>
      </c>
      <c r="Y444" s="1" t="s">
        <v>571</v>
      </c>
    </row>
    <row r="445" spans="1:27" ht="14.5" x14ac:dyDescent="0.35">
      <c r="A445" s="1" t="s">
        <v>73</v>
      </c>
      <c r="B445" s="15" t="s">
        <v>280</v>
      </c>
      <c r="D445" s="15" t="s">
        <v>481</v>
      </c>
      <c r="F445" s="15" t="s">
        <v>295</v>
      </c>
      <c r="G445" s="15"/>
      <c r="H445" s="15"/>
      <c r="K445" s="1" t="s">
        <v>37</v>
      </c>
      <c r="M445" s="15">
        <v>1.8922285832099397E-3</v>
      </c>
      <c r="N445" s="15"/>
      <c r="O445" s="15">
        <v>2.89</v>
      </c>
      <c r="Q445" s="18">
        <v>0.79</v>
      </c>
      <c r="R445" s="15">
        <v>36</v>
      </c>
      <c r="S445" s="15">
        <v>5.8</v>
      </c>
      <c r="T445" s="15">
        <v>17.2</v>
      </c>
      <c r="U445" s="6"/>
      <c r="V445" s="6"/>
      <c r="W445" s="6" t="s">
        <v>570</v>
      </c>
      <c r="X445" s="6" t="s">
        <v>550</v>
      </c>
      <c r="Y445" s="1" t="s">
        <v>571</v>
      </c>
    </row>
    <row r="446" spans="1:27" ht="14.5" x14ac:dyDescent="0.35">
      <c r="A446" s="1" t="s">
        <v>30</v>
      </c>
      <c r="B446" s="1" t="s">
        <v>546</v>
      </c>
      <c r="D446" t="s">
        <v>547</v>
      </c>
      <c r="F446" t="s">
        <v>541</v>
      </c>
      <c r="G446"/>
      <c r="K446" s="1" t="s">
        <v>37</v>
      </c>
      <c r="L446" s="1" t="s">
        <v>548</v>
      </c>
      <c r="M446">
        <v>1.8133395236801075E-2</v>
      </c>
      <c r="N446"/>
      <c r="O446">
        <v>1.91</v>
      </c>
      <c r="P446"/>
      <c r="Q446" s="17">
        <v>0.86</v>
      </c>
      <c r="R446">
        <v>28</v>
      </c>
      <c r="S446">
        <v>3.5</v>
      </c>
      <c r="T446">
        <v>10</v>
      </c>
      <c r="U446" s="6"/>
      <c r="V446" s="6"/>
      <c r="W446" s="6" t="s">
        <v>549</v>
      </c>
      <c r="X446" s="6" t="s">
        <v>550</v>
      </c>
      <c r="Y446" t="s">
        <v>551</v>
      </c>
    </row>
    <row r="447" spans="1:27" x14ac:dyDescent="0.3">
      <c r="A447" s="1" t="s">
        <v>30</v>
      </c>
      <c r="K447" s="1" t="s">
        <v>36</v>
      </c>
      <c r="M447" s="3">
        <v>5.5999999999999999E-3</v>
      </c>
      <c r="N447" s="3"/>
      <c r="O447" s="3">
        <v>2.198</v>
      </c>
      <c r="P447" s="3"/>
      <c r="R447" s="5">
        <v>9</v>
      </c>
      <c r="S447" s="2">
        <v>2.2000000000000002</v>
      </c>
      <c r="T447" s="2">
        <v>4.7</v>
      </c>
      <c r="U447" s="6"/>
      <c r="V447" s="6"/>
      <c r="W447" s="6" t="s">
        <v>9</v>
      </c>
      <c r="X447" s="1" t="s">
        <v>451</v>
      </c>
      <c r="Y447" s="1" t="s">
        <v>52</v>
      </c>
      <c r="Z447" s="1" t="s">
        <v>284</v>
      </c>
      <c r="AA447" s="6" t="s">
        <v>361</v>
      </c>
    </row>
    <row r="448" spans="1:27" x14ac:dyDescent="0.3">
      <c r="A448" s="1" t="s">
        <v>30</v>
      </c>
      <c r="D448" s="1" t="s">
        <v>12</v>
      </c>
      <c r="F448" s="1" t="s">
        <v>13</v>
      </c>
      <c r="G448" s="1" t="s">
        <v>31</v>
      </c>
      <c r="K448" s="1" t="s">
        <v>37</v>
      </c>
      <c r="M448" s="3">
        <v>1.01E-2</v>
      </c>
      <c r="N448" s="3">
        <v>5.3E-3</v>
      </c>
      <c r="O448" s="3">
        <v>2.1619999999999999</v>
      </c>
      <c r="P448" s="3">
        <v>0.31</v>
      </c>
      <c r="R448" s="5">
        <v>16</v>
      </c>
      <c r="S448" s="2">
        <v>1.8</v>
      </c>
      <c r="T448" s="2">
        <v>4.2</v>
      </c>
      <c r="U448" s="6"/>
      <c r="V448" s="6"/>
      <c r="W448" s="6" t="s">
        <v>14</v>
      </c>
      <c r="X448" s="1" t="s">
        <v>451</v>
      </c>
      <c r="Y448" s="1" t="s">
        <v>15</v>
      </c>
      <c r="Z448" s="1" t="s">
        <v>284</v>
      </c>
      <c r="AA448" s="6" t="s">
        <v>361</v>
      </c>
    </row>
    <row r="449" spans="1:27" x14ac:dyDescent="0.3">
      <c r="A449" s="1" t="s">
        <v>30</v>
      </c>
      <c r="D449" s="1" t="s">
        <v>12</v>
      </c>
      <c r="F449" s="1" t="s">
        <v>16</v>
      </c>
      <c r="G449" s="1" t="s">
        <v>32</v>
      </c>
      <c r="K449" s="1" t="s">
        <v>37</v>
      </c>
      <c r="M449" s="3">
        <v>8.8999999999999999E-3</v>
      </c>
      <c r="N449" s="3">
        <v>1.4E-3</v>
      </c>
      <c r="O449" s="3">
        <v>2.145</v>
      </c>
      <c r="P449" s="3">
        <v>0.23300000000000001</v>
      </c>
      <c r="R449" s="5">
        <v>42</v>
      </c>
      <c r="S449" s="2">
        <v>2</v>
      </c>
      <c r="T449" s="2">
        <v>5.2</v>
      </c>
      <c r="U449" s="6"/>
      <c r="V449" s="6"/>
      <c r="W449" s="6" t="s">
        <v>14</v>
      </c>
      <c r="X449" s="1" t="s">
        <v>451</v>
      </c>
      <c r="Y449" s="1" t="s">
        <v>15</v>
      </c>
      <c r="Z449" s="1" t="s">
        <v>284</v>
      </c>
      <c r="AA449" s="6" t="s">
        <v>361</v>
      </c>
    </row>
    <row r="450" spans="1:27" x14ac:dyDescent="0.3">
      <c r="A450" s="1" t="s">
        <v>429</v>
      </c>
      <c r="F450" s="1" t="s">
        <v>430</v>
      </c>
      <c r="K450" s="1" t="s">
        <v>37</v>
      </c>
      <c r="L450" s="1" t="s">
        <v>435</v>
      </c>
      <c r="M450" s="1">
        <v>1.3182567385564069E-4</v>
      </c>
      <c r="O450" s="1">
        <v>4.4249999999999998</v>
      </c>
      <c r="Q450" s="4">
        <v>0.92</v>
      </c>
      <c r="R450" s="1">
        <v>56</v>
      </c>
      <c r="S450" s="1">
        <v>20.82</v>
      </c>
      <c r="T450" s="1">
        <v>68.319999999999993</v>
      </c>
      <c r="W450" s="6" t="s">
        <v>436</v>
      </c>
      <c r="X450" s="6" t="s">
        <v>450</v>
      </c>
      <c r="Y450" s="1" t="s">
        <v>437</v>
      </c>
    </row>
    <row r="451" spans="1:27" x14ac:dyDescent="0.3">
      <c r="A451" s="1" t="s">
        <v>429</v>
      </c>
      <c r="D451" s="1" t="s">
        <v>438</v>
      </c>
      <c r="F451" s="1" t="s">
        <v>431</v>
      </c>
      <c r="K451" s="1" t="s">
        <v>37</v>
      </c>
      <c r="L451" s="1" t="s">
        <v>435</v>
      </c>
      <c r="M451" s="1">
        <v>1.3995873225726178E-2</v>
      </c>
      <c r="O451" s="1">
        <v>3.5720000000000001</v>
      </c>
      <c r="Q451" s="4">
        <v>0.71</v>
      </c>
      <c r="R451" s="1">
        <v>87</v>
      </c>
      <c r="S451" s="1">
        <v>1.27</v>
      </c>
      <c r="T451" s="1">
        <v>5</v>
      </c>
      <c r="W451" s="6" t="s">
        <v>436</v>
      </c>
      <c r="X451" s="6" t="s">
        <v>450</v>
      </c>
      <c r="Y451" s="1" t="s">
        <v>437</v>
      </c>
    </row>
    <row r="452" spans="1:27" x14ac:dyDescent="0.3">
      <c r="A452" s="1" t="s">
        <v>432</v>
      </c>
      <c r="F452" s="1" t="s">
        <v>433</v>
      </c>
      <c r="K452" s="1" t="s">
        <v>37</v>
      </c>
      <c r="L452" s="1" t="s">
        <v>435</v>
      </c>
      <c r="M452" s="1">
        <v>1.3708817661648531E-2</v>
      </c>
      <c r="O452" s="1">
        <v>3.714</v>
      </c>
      <c r="Q452" s="4">
        <v>0.94</v>
      </c>
      <c r="R452" s="1">
        <v>74</v>
      </c>
      <c r="S452" s="1">
        <v>1.4</v>
      </c>
      <c r="T452" s="1">
        <v>7.1</v>
      </c>
      <c r="W452" s="6" t="s">
        <v>436</v>
      </c>
      <c r="X452" s="6" t="s">
        <v>450</v>
      </c>
      <c r="Y452" s="1" t="s">
        <v>437</v>
      </c>
    </row>
    <row r="453" spans="1:27" x14ac:dyDescent="0.3">
      <c r="A453" s="1" t="s">
        <v>434</v>
      </c>
      <c r="K453" s="1" t="s">
        <v>37</v>
      </c>
      <c r="L453" s="1" t="s">
        <v>435</v>
      </c>
      <c r="M453" s="1">
        <v>2.4099054286865944E-3</v>
      </c>
      <c r="O453" s="1">
        <v>1.875</v>
      </c>
      <c r="Q453" s="4">
        <v>0.72</v>
      </c>
      <c r="R453" s="1">
        <v>90</v>
      </c>
      <c r="S453" s="1">
        <v>1.7</v>
      </c>
      <c r="T453" s="1">
        <v>22</v>
      </c>
      <c r="W453" s="6" t="s">
        <v>436</v>
      </c>
      <c r="X453" s="6" t="s">
        <v>450</v>
      </c>
      <c r="Y453" s="1" t="s">
        <v>437</v>
      </c>
    </row>
    <row r="454" spans="1:27" x14ac:dyDescent="0.3">
      <c r="A454" s="10" t="s">
        <v>434</v>
      </c>
      <c r="B454" s="11"/>
      <c r="C454" s="11"/>
      <c r="D454" s="11"/>
      <c r="E454" s="11"/>
      <c r="K454" s="1" t="s">
        <v>37</v>
      </c>
      <c r="L454" s="1" t="s">
        <v>457</v>
      </c>
      <c r="M454" s="10">
        <v>8.0000000000000002E-3</v>
      </c>
      <c r="N454" s="10"/>
      <c r="O454" s="10">
        <v>1.8879999999999999</v>
      </c>
      <c r="Q454" s="16">
        <v>0.9</v>
      </c>
      <c r="R454" s="10">
        <v>30</v>
      </c>
      <c r="S454" s="1">
        <v>1</v>
      </c>
      <c r="T454" s="10">
        <v>37</v>
      </c>
      <c r="W454" s="1" t="s">
        <v>448</v>
      </c>
      <c r="X454" s="1" t="s">
        <v>451</v>
      </c>
      <c r="Y454" s="1" t="s">
        <v>449</v>
      </c>
    </row>
    <row r="455" spans="1:27" ht="14.5" x14ac:dyDescent="0.35">
      <c r="A455" t="s">
        <v>432</v>
      </c>
      <c r="D455" t="s">
        <v>491</v>
      </c>
      <c r="F455" t="s">
        <v>539</v>
      </c>
      <c r="G455" t="s">
        <v>540</v>
      </c>
      <c r="K455" s="1" t="s">
        <v>37</v>
      </c>
      <c r="L455" s="1" t="s">
        <v>548</v>
      </c>
      <c r="M455">
        <v>8.2909966575172661E-2</v>
      </c>
      <c r="N455"/>
      <c r="O455">
        <v>2.75</v>
      </c>
      <c r="P455"/>
      <c r="Q455" s="17">
        <v>0.97</v>
      </c>
      <c r="R455">
        <v>16</v>
      </c>
      <c r="S455">
        <v>3</v>
      </c>
      <c r="T455">
        <v>15</v>
      </c>
      <c r="U455" s="6"/>
      <c r="V455" s="6"/>
      <c r="W455" s="6" t="s">
        <v>549</v>
      </c>
      <c r="X455" s="6" t="s">
        <v>550</v>
      </c>
      <c r="Y455" t="s">
        <v>551</v>
      </c>
    </row>
    <row r="456" spans="1:27" x14ac:dyDescent="0.3">
      <c r="M456" s="6"/>
      <c r="N456" s="6"/>
      <c r="O456" s="6"/>
      <c r="P456" s="6"/>
      <c r="R456" s="5"/>
      <c r="S456" s="6"/>
      <c r="T456" s="6"/>
      <c r="U456" s="6"/>
      <c r="V456" s="6"/>
      <c r="W456" s="6"/>
      <c r="X456" s="6"/>
    </row>
    <row r="457" spans="1:27" x14ac:dyDescent="0.3">
      <c r="M457" s="6"/>
      <c r="N457" s="6"/>
      <c r="O457" s="6"/>
      <c r="P457" s="6"/>
      <c r="R457" s="5"/>
      <c r="S457" s="6"/>
      <c r="T457" s="6"/>
      <c r="U457" s="6"/>
      <c r="V457" s="6"/>
      <c r="W457" s="6"/>
      <c r="X457" s="6"/>
    </row>
    <row r="458" spans="1:27" x14ac:dyDescent="0.3">
      <c r="M458" s="6"/>
      <c r="N458" s="6"/>
      <c r="O458" s="6"/>
      <c r="P458" s="6"/>
      <c r="R458" s="5"/>
      <c r="S458" s="6"/>
      <c r="T458" s="6"/>
      <c r="U458" s="6"/>
      <c r="V458" s="6"/>
      <c r="W458" s="6"/>
      <c r="X458" s="6"/>
    </row>
    <row r="459" spans="1:27" x14ac:dyDescent="0.3">
      <c r="M459" s="6"/>
      <c r="N459" s="6"/>
      <c r="O459" s="6"/>
      <c r="P459" s="6"/>
      <c r="R459" s="5"/>
      <c r="S459" s="6"/>
      <c r="T459" s="6"/>
      <c r="U459" s="6"/>
      <c r="V459" s="6"/>
      <c r="W459" s="6"/>
      <c r="X459" s="6"/>
    </row>
    <row r="460" spans="1:27" x14ac:dyDescent="0.3">
      <c r="M460" s="6"/>
      <c r="N460" s="6"/>
      <c r="O460" s="6"/>
      <c r="P460" s="6"/>
      <c r="R460" s="5"/>
      <c r="S460" s="6"/>
      <c r="T460" s="6"/>
      <c r="U460" s="6"/>
      <c r="V460" s="6"/>
      <c r="W460" s="6"/>
      <c r="X460" s="6"/>
    </row>
    <row r="461" spans="1:27" x14ac:dyDescent="0.3">
      <c r="M461" s="6"/>
      <c r="N461" s="6"/>
      <c r="O461" s="6"/>
      <c r="P461" s="6"/>
      <c r="R461" s="5"/>
      <c r="S461" s="6"/>
      <c r="T461" s="6"/>
      <c r="U461" s="6"/>
      <c r="V461" s="6"/>
      <c r="W461" s="6"/>
      <c r="X461" s="6"/>
    </row>
    <row r="462" spans="1:27" x14ac:dyDescent="0.3">
      <c r="M462" s="6"/>
      <c r="N462" s="6"/>
      <c r="O462" s="6"/>
      <c r="P462" s="6"/>
      <c r="R462" s="5"/>
      <c r="S462" s="6"/>
      <c r="T462" s="6"/>
      <c r="U462" s="6"/>
      <c r="V462" s="6"/>
      <c r="W462" s="6"/>
      <c r="X462" s="6"/>
    </row>
    <row r="463" spans="1:27" x14ac:dyDescent="0.3">
      <c r="M463" s="6"/>
      <c r="N463" s="6"/>
      <c r="O463" s="6"/>
      <c r="P463" s="6"/>
      <c r="R463" s="5"/>
      <c r="S463" s="6"/>
      <c r="T463" s="6"/>
      <c r="U463" s="6"/>
      <c r="V463" s="6"/>
      <c r="W463" s="6"/>
      <c r="X463" s="6"/>
    </row>
    <row r="464" spans="1:27" x14ac:dyDescent="0.3">
      <c r="M464" s="6"/>
      <c r="N464" s="6"/>
      <c r="O464" s="6"/>
      <c r="P464" s="6"/>
      <c r="R464" s="5"/>
      <c r="S464" s="6"/>
      <c r="T464" s="6"/>
      <c r="U464" s="6"/>
      <c r="V464" s="6"/>
      <c r="W464" s="6"/>
      <c r="X464" s="6"/>
    </row>
    <row r="465" spans="13:24" x14ac:dyDescent="0.3">
      <c r="M465" s="6"/>
      <c r="N465" s="6"/>
      <c r="O465" s="6"/>
      <c r="P465" s="6"/>
      <c r="R465" s="5"/>
      <c r="S465" s="6"/>
      <c r="T465" s="6"/>
      <c r="U465" s="6"/>
      <c r="V465" s="6"/>
      <c r="W465" s="6"/>
      <c r="X465" s="6"/>
    </row>
    <row r="466" spans="13:24" x14ac:dyDescent="0.3">
      <c r="M466" s="6"/>
      <c r="N466" s="6"/>
      <c r="O466" s="6"/>
      <c r="P466" s="6"/>
      <c r="R466" s="5"/>
      <c r="S466" s="6"/>
      <c r="T466" s="6"/>
      <c r="U466" s="6"/>
      <c r="V466" s="6"/>
      <c r="W466" s="6"/>
      <c r="X466" s="6"/>
    </row>
    <row r="467" spans="13:24" x14ac:dyDescent="0.3">
      <c r="M467" s="6"/>
      <c r="N467" s="6"/>
      <c r="O467" s="6"/>
      <c r="P467" s="6"/>
      <c r="R467" s="5"/>
      <c r="S467" s="6"/>
      <c r="T467" s="6"/>
      <c r="U467" s="6"/>
      <c r="V467" s="6"/>
      <c r="W467" s="6"/>
      <c r="X467" s="6"/>
    </row>
    <row r="468" spans="13:24" x14ac:dyDescent="0.3">
      <c r="M468" s="6"/>
      <c r="N468" s="6"/>
      <c r="O468" s="6"/>
      <c r="P468" s="6"/>
      <c r="R468" s="5"/>
      <c r="S468" s="6"/>
      <c r="T468" s="6"/>
      <c r="U468" s="6"/>
      <c r="V468" s="6"/>
      <c r="W468" s="6"/>
      <c r="X468" s="6"/>
    </row>
    <row r="469" spans="13:24" x14ac:dyDescent="0.3">
      <c r="M469" s="6"/>
      <c r="N469" s="6"/>
      <c r="O469" s="6"/>
      <c r="P469" s="6"/>
      <c r="R469" s="5"/>
      <c r="S469" s="6"/>
      <c r="T469" s="6"/>
      <c r="U469" s="6"/>
      <c r="V469" s="6"/>
      <c r="W469" s="6"/>
      <c r="X469" s="6"/>
    </row>
    <row r="470" spans="13:24" x14ac:dyDescent="0.3">
      <c r="M470" s="6"/>
      <c r="N470" s="6"/>
      <c r="O470" s="6"/>
      <c r="P470" s="6"/>
      <c r="R470" s="5"/>
      <c r="S470" s="6"/>
      <c r="T470" s="6"/>
      <c r="U470" s="6"/>
      <c r="V470" s="6"/>
      <c r="W470" s="6"/>
      <c r="X470" s="6"/>
    </row>
    <row r="471" spans="13:24" x14ac:dyDescent="0.3">
      <c r="M471" s="6"/>
      <c r="N471" s="6"/>
      <c r="O471" s="6"/>
      <c r="P471" s="6"/>
      <c r="R471" s="5"/>
      <c r="S471" s="6"/>
      <c r="T471" s="6"/>
      <c r="U471" s="6"/>
      <c r="V471" s="6"/>
      <c r="W471" s="6"/>
      <c r="X471" s="6"/>
    </row>
    <row r="472" spans="13:24" x14ac:dyDescent="0.3">
      <c r="M472" s="6"/>
      <c r="N472" s="6"/>
      <c r="O472" s="6"/>
      <c r="P472" s="6"/>
      <c r="R472" s="5"/>
      <c r="S472" s="6"/>
      <c r="T472" s="6"/>
      <c r="U472" s="6"/>
      <c r="V472" s="6"/>
      <c r="W472" s="6"/>
      <c r="X472" s="6"/>
    </row>
    <row r="473" spans="13:24" x14ac:dyDescent="0.3">
      <c r="M473" s="6"/>
      <c r="N473" s="6"/>
      <c r="O473" s="6"/>
      <c r="P473" s="6"/>
      <c r="R473" s="5"/>
      <c r="S473" s="6"/>
      <c r="T473" s="6"/>
      <c r="U473" s="6"/>
      <c r="V473" s="6"/>
      <c r="W473" s="6"/>
      <c r="X473" s="6"/>
    </row>
    <row r="474" spans="13:24" x14ac:dyDescent="0.3">
      <c r="M474" s="6"/>
      <c r="N474" s="6"/>
      <c r="O474" s="6"/>
      <c r="P474" s="6"/>
      <c r="R474" s="5"/>
      <c r="S474" s="6"/>
      <c r="T474" s="6"/>
      <c r="U474" s="6"/>
      <c r="V474" s="6"/>
      <c r="W474" s="6"/>
      <c r="X474" s="6"/>
    </row>
    <row r="475" spans="13:24" x14ac:dyDescent="0.3">
      <c r="M475" s="6"/>
      <c r="N475" s="6"/>
      <c r="O475" s="6"/>
      <c r="P475" s="6"/>
      <c r="R475" s="5"/>
      <c r="S475" s="6"/>
      <c r="T475" s="6"/>
      <c r="U475" s="6"/>
      <c r="V475" s="6"/>
      <c r="W475" s="6"/>
      <c r="X475" s="6"/>
    </row>
    <row r="476" spans="13:24" x14ac:dyDescent="0.3">
      <c r="M476" s="6"/>
      <c r="N476" s="6"/>
      <c r="O476" s="6"/>
      <c r="P476" s="6"/>
      <c r="R476" s="5"/>
      <c r="S476" s="6"/>
      <c r="T476" s="6"/>
      <c r="U476" s="6"/>
      <c r="V476" s="6"/>
      <c r="W476" s="6"/>
      <c r="X476" s="6"/>
    </row>
    <row r="477" spans="13:24" x14ac:dyDescent="0.3">
      <c r="M477" s="6"/>
      <c r="N477" s="6"/>
      <c r="O477" s="6"/>
      <c r="P477" s="6"/>
      <c r="R477" s="5"/>
      <c r="S477" s="6"/>
      <c r="T477" s="6"/>
      <c r="U477" s="6"/>
      <c r="V477" s="6"/>
      <c r="W477" s="6"/>
      <c r="X477" s="6"/>
    </row>
    <row r="478" spans="13:24" x14ac:dyDescent="0.3">
      <c r="M478" s="6"/>
      <c r="N478" s="6"/>
      <c r="O478" s="6"/>
      <c r="P478" s="6"/>
      <c r="R478" s="5"/>
      <c r="S478" s="6"/>
      <c r="T478" s="6"/>
      <c r="U478" s="6"/>
      <c r="V478" s="6"/>
      <c r="W478" s="6"/>
      <c r="X478" s="6"/>
    </row>
    <row r="479" spans="13:24" x14ac:dyDescent="0.3">
      <c r="M479" s="6"/>
      <c r="N479" s="6"/>
      <c r="O479" s="6"/>
      <c r="P479" s="6"/>
      <c r="R479" s="5"/>
      <c r="S479" s="6"/>
      <c r="T479" s="6"/>
      <c r="U479" s="6"/>
      <c r="V479" s="6"/>
      <c r="W479" s="6"/>
      <c r="X479" s="6"/>
    </row>
    <row r="480" spans="13:24" x14ac:dyDescent="0.3">
      <c r="M480" s="6"/>
      <c r="N480" s="6"/>
      <c r="O480" s="6"/>
      <c r="P480" s="6"/>
      <c r="R480" s="5"/>
      <c r="S480" s="6"/>
      <c r="T480" s="6"/>
      <c r="U480" s="6"/>
      <c r="V480" s="6"/>
      <c r="W480" s="6"/>
      <c r="X480" s="6"/>
    </row>
    <row r="481" spans="13:24" x14ac:dyDescent="0.3">
      <c r="M481" s="6"/>
      <c r="N481" s="6"/>
      <c r="O481" s="6"/>
      <c r="P481" s="6"/>
      <c r="R481" s="5"/>
      <c r="S481" s="6"/>
      <c r="T481" s="6"/>
      <c r="U481" s="6"/>
      <c r="V481" s="6"/>
      <c r="W481" s="6"/>
      <c r="X481" s="6"/>
    </row>
    <row r="482" spans="13:24" x14ac:dyDescent="0.3">
      <c r="M482" s="6"/>
      <c r="N482" s="6"/>
      <c r="O482" s="6"/>
      <c r="P482" s="6"/>
      <c r="R482" s="5"/>
      <c r="S482" s="6"/>
      <c r="T482" s="6"/>
      <c r="U482" s="6"/>
      <c r="V482" s="6"/>
      <c r="W482" s="6"/>
      <c r="X482" s="6"/>
    </row>
    <row r="483" spans="13:24" x14ac:dyDescent="0.3">
      <c r="M483" s="6"/>
      <c r="N483" s="6"/>
      <c r="O483" s="6"/>
      <c r="P483" s="6"/>
      <c r="R483" s="5"/>
      <c r="S483" s="6"/>
      <c r="T483" s="6"/>
      <c r="U483" s="6"/>
      <c r="V483" s="6"/>
      <c r="W483" s="6"/>
      <c r="X483" s="6"/>
    </row>
    <row r="484" spans="13:24" x14ac:dyDescent="0.3">
      <c r="M484" s="6"/>
      <c r="N484" s="6"/>
      <c r="O484" s="6"/>
      <c r="P484" s="6"/>
      <c r="R484" s="5"/>
      <c r="S484" s="6"/>
      <c r="T484" s="6"/>
      <c r="U484" s="6"/>
      <c r="V484" s="6"/>
      <c r="W484" s="6"/>
      <c r="X484" s="6"/>
    </row>
    <row r="485" spans="13:24" x14ac:dyDescent="0.3">
      <c r="M485" s="6"/>
      <c r="N485" s="6"/>
      <c r="O485" s="6"/>
      <c r="P485" s="6"/>
      <c r="R485" s="5"/>
      <c r="S485" s="6"/>
      <c r="T485" s="6"/>
      <c r="U485" s="6"/>
      <c r="V485" s="6"/>
      <c r="W485" s="6"/>
      <c r="X485" s="6"/>
    </row>
    <row r="486" spans="13:24" x14ac:dyDescent="0.3">
      <c r="M486" s="6"/>
      <c r="N486" s="6"/>
      <c r="O486" s="6"/>
      <c r="P486" s="6"/>
      <c r="R486" s="5"/>
      <c r="S486" s="6"/>
      <c r="T486" s="6"/>
      <c r="U486" s="6"/>
      <c r="V486" s="6"/>
      <c r="W486" s="6"/>
      <c r="X486" s="6"/>
    </row>
    <row r="487" spans="13:24" x14ac:dyDescent="0.3">
      <c r="M487" s="6"/>
      <c r="N487" s="6"/>
      <c r="O487" s="6"/>
      <c r="P487" s="6"/>
      <c r="R487" s="5"/>
      <c r="S487" s="6"/>
      <c r="T487" s="6"/>
      <c r="U487" s="6"/>
      <c r="V487" s="6"/>
      <c r="W487" s="6"/>
      <c r="X487" s="6"/>
    </row>
    <row r="488" spans="13:24" x14ac:dyDescent="0.3">
      <c r="M488" s="6"/>
      <c r="N488" s="6"/>
      <c r="O488" s="6"/>
      <c r="P488" s="6"/>
      <c r="R488" s="5"/>
      <c r="S488" s="6"/>
      <c r="T488" s="6"/>
      <c r="U488" s="6"/>
      <c r="V488" s="6"/>
      <c r="W488" s="6"/>
      <c r="X488" s="6"/>
    </row>
    <row r="489" spans="13:24" x14ac:dyDescent="0.3">
      <c r="M489" s="6"/>
      <c r="N489" s="6"/>
      <c r="O489" s="6"/>
      <c r="P489" s="6"/>
      <c r="R489" s="5"/>
      <c r="S489" s="6"/>
      <c r="T489" s="6"/>
      <c r="U489" s="6"/>
      <c r="V489" s="6"/>
      <c r="W489" s="6"/>
      <c r="X489" s="6"/>
    </row>
    <row r="490" spans="13:24" x14ac:dyDescent="0.3">
      <c r="M490" s="6"/>
      <c r="N490" s="6"/>
      <c r="O490" s="6"/>
      <c r="P490" s="6"/>
      <c r="R490" s="5"/>
      <c r="S490" s="6"/>
      <c r="T490" s="6"/>
      <c r="U490" s="6"/>
      <c r="V490" s="6"/>
      <c r="W490" s="6"/>
      <c r="X490" s="6"/>
    </row>
    <row r="491" spans="13:24" x14ac:dyDescent="0.3">
      <c r="M491" s="6"/>
      <c r="N491" s="6"/>
      <c r="O491" s="6"/>
      <c r="P491" s="6"/>
      <c r="R491" s="5"/>
      <c r="S491" s="6"/>
      <c r="T491" s="6"/>
      <c r="U491" s="6"/>
      <c r="V491" s="6"/>
      <c r="W491" s="6"/>
      <c r="X491" s="6"/>
    </row>
    <row r="492" spans="13:24" x14ac:dyDescent="0.3">
      <c r="M492" s="6"/>
      <c r="N492" s="6"/>
      <c r="O492" s="6"/>
      <c r="P492" s="6"/>
      <c r="R492" s="5"/>
      <c r="S492" s="6"/>
      <c r="T492" s="6"/>
      <c r="U492" s="6"/>
      <c r="V492" s="6"/>
      <c r="W492" s="6"/>
      <c r="X492" s="6"/>
    </row>
    <row r="493" spans="13:24" x14ac:dyDescent="0.3">
      <c r="M493" s="6"/>
      <c r="N493" s="6"/>
      <c r="O493" s="6"/>
      <c r="P493" s="6"/>
      <c r="R493" s="5"/>
      <c r="S493" s="6"/>
      <c r="T493" s="6"/>
      <c r="U493" s="6"/>
      <c r="V493" s="6"/>
      <c r="W493" s="6"/>
      <c r="X493" s="6"/>
    </row>
    <row r="494" spans="13:24" x14ac:dyDescent="0.3">
      <c r="M494" s="6"/>
      <c r="N494" s="6"/>
      <c r="O494" s="6"/>
      <c r="P494" s="6"/>
      <c r="R494" s="5"/>
      <c r="S494" s="6"/>
      <c r="T494" s="6"/>
      <c r="U494" s="6"/>
      <c r="V494" s="6"/>
      <c r="W494" s="6"/>
      <c r="X494" s="6"/>
    </row>
    <row r="495" spans="13:24" x14ac:dyDescent="0.3">
      <c r="M495" s="6"/>
      <c r="N495" s="6"/>
      <c r="O495" s="6"/>
      <c r="P495" s="6"/>
      <c r="R495" s="5"/>
      <c r="S495" s="6"/>
      <c r="T495" s="6"/>
      <c r="U495" s="6"/>
      <c r="V495" s="6"/>
      <c r="W495" s="6"/>
      <c r="X495" s="6"/>
    </row>
    <row r="496" spans="13:24" x14ac:dyDescent="0.3">
      <c r="M496" s="6"/>
      <c r="N496" s="6"/>
      <c r="O496" s="6"/>
      <c r="P496" s="6"/>
      <c r="R496" s="5"/>
      <c r="S496" s="6"/>
      <c r="T496" s="6"/>
      <c r="U496" s="6"/>
      <c r="V496" s="6"/>
      <c r="W496" s="6"/>
      <c r="X496" s="6"/>
    </row>
    <row r="497" spans="13:24" x14ac:dyDescent="0.3">
      <c r="M497" s="6"/>
      <c r="N497" s="6"/>
      <c r="O497" s="6"/>
      <c r="P497" s="6"/>
      <c r="R497" s="5"/>
      <c r="S497" s="6"/>
      <c r="T497" s="6"/>
      <c r="U497" s="6"/>
      <c r="V497" s="6"/>
      <c r="W497" s="6"/>
      <c r="X497" s="6"/>
    </row>
    <row r="498" spans="13:24" x14ac:dyDescent="0.3">
      <c r="M498" s="6"/>
      <c r="N498" s="6"/>
      <c r="O498" s="6"/>
      <c r="P498" s="6"/>
      <c r="R498" s="5"/>
      <c r="S498" s="6"/>
      <c r="T498" s="6"/>
      <c r="U498" s="6"/>
      <c r="V498" s="6"/>
      <c r="W498" s="6"/>
      <c r="X498" s="6"/>
    </row>
    <row r="499" spans="13:24" x14ac:dyDescent="0.3">
      <c r="M499" s="6"/>
      <c r="N499" s="6"/>
      <c r="O499" s="6"/>
      <c r="P499" s="6"/>
      <c r="R499" s="5"/>
      <c r="S499" s="6"/>
      <c r="T499" s="6"/>
      <c r="U499" s="6"/>
      <c r="V499" s="6"/>
      <c r="W499" s="6"/>
      <c r="X499" s="6"/>
    </row>
    <row r="500" spans="13:24" x14ac:dyDescent="0.3">
      <c r="M500" s="6"/>
      <c r="N500" s="6"/>
      <c r="O500" s="6"/>
      <c r="P500" s="6"/>
      <c r="R500" s="5"/>
      <c r="S500" s="6"/>
      <c r="T500" s="6"/>
      <c r="U500" s="6"/>
      <c r="V500" s="6"/>
      <c r="W500" s="6"/>
      <c r="X500" s="6"/>
    </row>
    <row r="501" spans="13:24" x14ac:dyDescent="0.3">
      <c r="M501" s="6"/>
      <c r="N501" s="6"/>
      <c r="O501" s="6"/>
      <c r="P501" s="6"/>
      <c r="R501" s="5"/>
      <c r="S501" s="6"/>
      <c r="T501" s="6"/>
      <c r="U501" s="6"/>
      <c r="V501" s="6"/>
      <c r="W501" s="6"/>
      <c r="X501" s="6"/>
    </row>
    <row r="502" spans="13:24" x14ac:dyDescent="0.3">
      <c r="M502" s="6"/>
      <c r="N502" s="6"/>
      <c r="O502" s="6"/>
      <c r="P502" s="6"/>
      <c r="R502" s="5"/>
      <c r="S502" s="6"/>
      <c r="T502" s="6"/>
      <c r="U502" s="6"/>
      <c r="V502" s="6"/>
      <c r="W502" s="6"/>
      <c r="X502" s="6"/>
    </row>
    <row r="503" spans="13:24" x14ac:dyDescent="0.3">
      <c r="M503" s="6"/>
      <c r="N503" s="6"/>
      <c r="O503" s="6"/>
      <c r="P503" s="6"/>
      <c r="R503" s="5"/>
      <c r="S503" s="6"/>
      <c r="T503" s="6"/>
      <c r="U503" s="6"/>
      <c r="V503" s="6"/>
      <c r="W503" s="6"/>
      <c r="X503" s="6"/>
    </row>
    <row r="504" spans="13:24" x14ac:dyDescent="0.3">
      <c r="M504" s="6"/>
      <c r="N504" s="6"/>
      <c r="O504" s="6"/>
      <c r="P504" s="6"/>
      <c r="R504" s="5"/>
      <c r="S504" s="6"/>
      <c r="T504" s="6"/>
      <c r="U504" s="6"/>
      <c r="V504" s="6"/>
      <c r="W504" s="6"/>
      <c r="X504" s="6"/>
    </row>
    <row r="505" spans="13:24" x14ac:dyDescent="0.3">
      <c r="M505" s="6"/>
      <c r="N505" s="6"/>
      <c r="O505" s="6"/>
      <c r="P505" s="6"/>
      <c r="R505" s="5"/>
      <c r="S505" s="6"/>
      <c r="T505" s="6"/>
      <c r="U505" s="6"/>
      <c r="V505" s="6"/>
      <c r="W505" s="6"/>
      <c r="X505" s="6"/>
    </row>
    <row r="506" spans="13:24" x14ac:dyDescent="0.3">
      <c r="M506" s="6"/>
      <c r="N506" s="6"/>
      <c r="O506" s="6"/>
      <c r="P506" s="6"/>
      <c r="R506" s="5"/>
      <c r="S506" s="6"/>
      <c r="T506" s="6"/>
      <c r="U506" s="6"/>
      <c r="V506" s="6"/>
      <c r="W506" s="6"/>
      <c r="X506" s="6"/>
    </row>
    <row r="507" spans="13:24" x14ac:dyDescent="0.3">
      <c r="M507" s="6"/>
      <c r="N507" s="6"/>
      <c r="O507" s="6"/>
      <c r="P507" s="6"/>
      <c r="R507" s="5"/>
      <c r="S507" s="6"/>
      <c r="T507" s="6"/>
      <c r="U507" s="6"/>
      <c r="V507" s="6"/>
      <c r="W507" s="6"/>
      <c r="X507" s="6"/>
    </row>
    <row r="508" spans="13:24" x14ac:dyDescent="0.3">
      <c r="M508" s="6"/>
      <c r="N508" s="6"/>
      <c r="O508" s="6"/>
      <c r="P508" s="6"/>
      <c r="R508" s="5"/>
      <c r="S508" s="6"/>
      <c r="T508" s="6"/>
      <c r="U508" s="6"/>
      <c r="V508" s="6"/>
      <c r="W508" s="6"/>
      <c r="X508" s="6"/>
    </row>
    <row r="509" spans="13:24" x14ac:dyDescent="0.3">
      <c r="M509" s="6"/>
      <c r="N509" s="6"/>
      <c r="O509" s="6"/>
      <c r="P509" s="6"/>
      <c r="R509" s="5"/>
      <c r="S509" s="6"/>
      <c r="T509" s="6"/>
      <c r="U509" s="6"/>
      <c r="V509" s="6"/>
      <c r="W509" s="6"/>
      <c r="X509" s="6"/>
    </row>
    <row r="510" spans="13:24" x14ac:dyDescent="0.3">
      <c r="M510" s="6"/>
      <c r="N510" s="6"/>
      <c r="O510" s="6"/>
      <c r="P510" s="6"/>
      <c r="R510" s="5"/>
      <c r="S510" s="6"/>
      <c r="T510" s="6"/>
      <c r="U510" s="6"/>
      <c r="V510" s="6"/>
      <c r="W510" s="6"/>
      <c r="X510" s="6"/>
    </row>
    <row r="511" spans="13:24" x14ac:dyDescent="0.3">
      <c r="M511" s="6"/>
      <c r="N511" s="6"/>
      <c r="O511" s="6"/>
      <c r="P511" s="6"/>
      <c r="R511" s="5"/>
      <c r="S511" s="6"/>
      <c r="T511" s="6"/>
      <c r="U511" s="6"/>
      <c r="V511" s="6"/>
      <c r="W511" s="6"/>
      <c r="X511" s="6"/>
    </row>
    <row r="512" spans="13:24" x14ac:dyDescent="0.3">
      <c r="M512" s="6"/>
      <c r="N512" s="6"/>
      <c r="O512" s="6"/>
      <c r="P512" s="6"/>
      <c r="R512" s="5"/>
      <c r="S512" s="6"/>
      <c r="T512" s="6"/>
      <c r="U512" s="6"/>
      <c r="V512" s="6"/>
      <c r="W512" s="6"/>
      <c r="X512" s="6"/>
    </row>
    <row r="513" spans="13:24" x14ac:dyDescent="0.3">
      <c r="M513" s="6"/>
      <c r="N513" s="6"/>
      <c r="O513" s="6"/>
      <c r="P513" s="6"/>
      <c r="R513" s="5"/>
      <c r="S513" s="6"/>
      <c r="T513" s="6"/>
      <c r="U513" s="6"/>
      <c r="V513" s="6"/>
      <c r="W513" s="6"/>
      <c r="X513" s="6"/>
    </row>
    <row r="514" spans="13:24" x14ac:dyDescent="0.3">
      <c r="M514" s="6"/>
      <c r="N514" s="6"/>
      <c r="O514" s="6"/>
      <c r="P514" s="6"/>
      <c r="R514" s="5"/>
      <c r="S514" s="6"/>
      <c r="T514" s="6"/>
      <c r="U514" s="6"/>
      <c r="V514" s="6"/>
      <c r="W514" s="6"/>
      <c r="X514" s="6"/>
    </row>
    <row r="515" spans="13:24" x14ac:dyDescent="0.3">
      <c r="M515" s="6"/>
      <c r="N515" s="6"/>
      <c r="O515" s="6"/>
      <c r="P515" s="6"/>
      <c r="R515" s="5"/>
      <c r="S515" s="6"/>
      <c r="T515" s="6"/>
      <c r="U515" s="6"/>
      <c r="V515" s="6"/>
      <c r="W515" s="6"/>
      <c r="X515" s="6"/>
    </row>
    <row r="516" spans="13:24" x14ac:dyDescent="0.3">
      <c r="M516" s="6"/>
      <c r="N516" s="6"/>
      <c r="O516" s="6"/>
      <c r="P516" s="6"/>
      <c r="R516" s="5"/>
      <c r="S516" s="6"/>
      <c r="T516" s="6"/>
      <c r="U516" s="6"/>
      <c r="V516" s="6"/>
      <c r="W516" s="6"/>
      <c r="X516" s="6"/>
    </row>
    <row r="517" spans="13:24" x14ac:dyDescent="0.3">
      <c r="M517" s="6"/>
      <c r="N517" s="6"/>
      <c r="O517" s="6"/>
      <c r="P517" s="6"/>
      <c r="R517" s="5"/>
      <c r="S517" s="6"/>
      <c r="T517" s="6"/>
      <c r="U517" s="6"/>
      <c r="V517" s="6"/>
      <c r="W517" s="6"/>
      <c r="X517" s="6"/>
    </row>
    <row r="518" spans="13:24" x14ac:dyDescent="0.3">
      <c r="M518" s="6"/>
      <c r="N518" s="6"/>
      <c r="O518" s="6"/>
      <c r="P518" s="6"/>
      <c r="R518" s="5"/>
      <c r="S518" s="6"/>
      <c r="T518" s="6"/>
      <c r="U518" s="6"/>
      <c r="V518" s="6"/>
      <c r="W518" s="6"/>
      <c r="X518" s="6"/>
    </row>
    <row r="519" spans="13:24" x14ac:dyDescent="0.3">
      <c r="M519" s="6"/>
      <c r="N519" s="6"/>
      <c r="O519" s="6"/>
      <c r="P519" s="6"/>
      <c r="R519" s="5"/>
      <c r="S519" s="6"/>
      <c r="T519" s="6"/>
      <c r="U519" s="6"/>
      <c r="V519" s="6"/>
      <c r="W519" s="6"/>
      <c r="X519" s="6"/>
    </row>
    <row r="520" spans="13:24" x14ac:dyDescent="0.3">
      <c r="M520" s="6"/>
      <c r="N520" s="6"/>
      <c r="O520" s="6"/>
      <c r="P520" s="6"/>
      <c r="R520" s="5"/>
      <c r="S520" s="6"/>
      <c r="T520" s="6"/>
      <c r="U520" s="6"/>
      <c r="V520" s="6"/>
      <c r="W520" s="6"/>
      <c r="X520" s="6"/>
    </row>
    <row r="521" spans="13:24" x14ac:dyDescent="0.3">
      <c r="M521" s="6"/>
      <c r="N521" s="6"/>
      <c r="O521" s="6"/>
      <c r="P521" s="6"/>
      <c r="R521" s="5"/>
      <c r="S521" s="6"/>
      <c r="T521" s="6"/>
      <c r="U521" s="6"/>
      <c r="V521" s="6"/>
      <c r="W521" s="6"/>
      <c r="X521" s="6"/>
    </row>
    <row r="522" spans="13:24" x14ac:dyDescent="0.3">
      <c r="M522" s="6"/>
      <c r="N522" s="6"/>
      <c r="O522" s="6"/>
      <c r="P522" s="6"/>
      <c r="R522" s="5"/>
      <c r="S522" s="6"/>
      <c r="T522" s="6"/>
      <c r="U522" s="6"/>
      <c r="V522" s="6"/>
      <c r="W522" s="6"/>
      <c r="X522" s="6"/>
    </row>
    <row r="523" spans="13:24" x14ac:dyDescent="0.3">
      <c r="M523" s="6"/>
      <c r="N523" s="6"/>
      <c r="O523" s="6"/>
      <c r="P523" s="6"/>
      <c r="R523" s="5"/>
      <c r="S523" s="6"/>
      <c r="T523" s="6"/>
      <c r="U523" s="6"/>
      <c r="V523" s="6"/>
      <c r="W523" s="6"/>
      <c r="X523" s="6"/>
    </row>
    <row r="524" spans="13:24" x14ac:dyDescent="0.3">
      <c r="M524" s="6"/>
      <c r="N524" s="6"/>
      <c r="O524" s="6"/>
      <c r="P524" s="6"/>
      <c r="R524" s="5"/>
      <c r="S524" s="6"/>
      <c r="T524" s="6"/>
      <c r="U524" s="6"/>
      <c r="V524" s="6"/>
      <c r="W524" s="6"/>
      <c r="X524" s="6"/>
    </row>
    <row r="525" spans="13:24" x14ac:dyDescent="0.3">
      <c r="M525" s="6"/>
      <c r="N525" s="6"/>
      <c r="O525" s="6"/>
      <c r="P525" s="6"/>
      <c r="R525" s="5"/>
      <c r="S525" s="6"/>
      <c r="T525" s="6"/>
      <c r="U525" s="6"/>
      <c r="V525" s="6"/>
      <c r="W525" s="6"/>
      <c r="X525" s="6"/>
    </row>
    <row r="526" spans="13:24" x14ac:dyDescent="0.3">
      <c r="M526" s="6"/>
      <c r="N526" s="6"/>
      <c r="O526" s="6"/>
      <c r="P526" s="6"/>
      <c r="R526" s="5"/>
      <c r="S526" s="6"/>
      <c r="T526" s="6"/>
      <c r="U526" s="6"/>
      <c r="V526" s="6"/>
      <c r="W526" s="6"/>
      <c r="X526" s="6"/>
    </row>
    <row r="527" spans="13:24" x14ac:dyDescent="0.3">
      <c r="M527" s="6"/>
      <c r="N527" s="6"/>
      <c r="O527" s="6"/>
      <c r="P527" s="6"/>
      <c r="R527" s="5"/>
      <c r="S527" s="6"/>
      <c r="T527" s="6"/>
      <c r="U527" s="6"/>
      <c r="V527" s="6"/>
      <c r="W527" s="6"/>
      <c r="X527" s="6"/>
    </row>
    <row r="528" spans="13:24" x14ac:dyDescent="0.3">
      <c r="M528" s="6"/>
      <c r="N528" s="6"/>
      <c r="O528" s="6"/>
      <c r="P528" s="6"/>
      <c r="R528" s="5"/>
      <c r="S528" s="6"/>
      <c r="T528" s="6"/>
      <c r="U528" s="6"/>
      <c r="V528" s="6"/>
      <c r="W528" s="6"/>
      <c r="X528" s="6"/>
    </row>
    <row r="529" spans="13:24" x14ac:dyDescent="0.3">
      <c r="M529" s="6"/>
      <c r="N529" s="6"/>
      <c r="O529" s="6"/>
      <c r="P529" s="6"/>
      <c r="R529" s="5"/>
      <c r="S529" s="6"/>
      <c r="T529" s="6"/>
      <c r="U529" s="6"/>
      <c r="V529" s="6"/>
      <c r="W529" s="6"/>
      <c r="X529" s="6"/>
    </row>
    <row r="530" spans="13:24" x14ac:dyDescent="0.3">
      <c r="M530" s="6"/>
      <c r="N530" s="6"/>
      <c r="O530" s="6"/>
      <c r="P530" s="6"/>
      <c r="R530" s="5"/>
      <c r="S530" s="6"/>
      <c r="T530" s="6"/>
      <c r="U530" s="6"/>
      <c r="V530" s="6"/>
      <c r="W530" s="6"/>
      <c r="X530" s="6"/>
    </row>
    <row r="531" spans="13:24" x14ac:dyDescent="0.3">
      <c r="M531" s="6"/>
      <c r="N531" s="6"/>
      <c r="O531" s="6"/>
      <c r="P531" s="6"/>
      <c r="R531" s="5"/>
      <c r="S531" s="6"/>
      <c r="T531" s="6"/>
      <c r="U531" s="6"/>
      <c r="V531" s="6"/>
      <c r="W531" s="6"/>
      <c r="X531" s="6"/>
    </row>
    <row r="532" spans="13:24" x14ac:dyDescent="0.3">
      <c r="M532" s="6"/>
      <c r="N532" s="6"/>
      <c r="O532" s="6"/>
      <c r="P532" s="6"/>
      <c r="R532" s="5"/>
      <c r="S532" s="6"/>
      <c r="T532" s="6"/>
      <c r="U532" s="6"/>
      <c r="V532" s="6"/>
      <c r="W532" s="6"/>
      <c r="X532" s="6"/>
    </row>
    <row r="533" spans="13:24" x14ac:dyDescent="0.3">
      <c r="M533" s="6"/>
      <c r="N533" s="6"/>
      <c r="O533" s="6"/>
      <c r="P533" s="6"/>
      <c r="R533" s="5"/>
      <c r="S533" s="6"/>
      <c r="T533" s="6"/>
      <c r="U533" s="6"/>
      <c r="V533" s="6"/>
      <c r="W533" s="6"/>
      <c r="X533" s="6"/>
    </row>
    <row r="534" spans="13:24" x14ac:dyDescent="0.3">
      <c r="M534" s="6"/>
      <c r="N534" s="6"/>
      <c r="O534" s="6"/>
      <c r="P534" s="6"/>
      <c r="R534" s="5"/>
      <c r="S534" s="6"/>
      <c r="T534" s="6"/>
      <c r="U534" s="6"/>
      <c r="V534" s="6"/>
      <c r="W534" s="6"/>
      <c r="X534" s="6"/>
    </row>
    <row r="535" spans="13:24" x14ac:dyDescent="0.3">
      <c r="M535" s="6"/>
      <c r="N535" s="6"/>
      <c r="O535" s="6"/>
      <c r="P535" s="6"/>
      <c r="R535" s="5"/>
      <c r="S535" s="6"/>
      <c r="T535" s="6"/>
      <c r="U535" s="6"/>
      <c r="V535" s="6"/>
      <c r="W535" s="6"/>
      <c r="X535" s="6"/>
    </row>
    <row r="536" spans="13:24" x14ac:dyDescent="0.3">
      <c r="M536" s="6"/>
      <c r="N536" s="6"/>
      <c r="O536" s="6"/>
      <c r="P536" s="6"/>
      <c r="R536" s="5"/>
      <c r="S536" s="6"/>
      <c r="T536" s="6"/>
      <c r="U536" s="6"/>
      <c r="V536" s="6"/>
      <c r="W536" s="6"/>
      <c r="X536" s="6"/>
    </row>
    <row r="537" spans="13:24" x14ac:dyDescent="0.3">
      <c r="M537" s="6"/>
      <c r="N537" s="6"/>
      <c r="O537" s="6"/>
      <c r="P537" s="6"/>
      <c r="R537" s="5"/>
      <c r="S537" s="6"/>
      <c r="T537" s="6"/>
      <c r="U537" s="6"/>
      <c r="V537" s="6"/>
      <c r="W537" s="6"/>
      <c r="X537" s="6"/>
    </row>
    <row r="538" spans="13:24" x14ac:dyDescent="0.3">
      <c r="M538" s="6"/>
      <c r="N538" s="6"/>
      <c r="O538" s="6"/>
      <c r="P538" s="6"/>
      <c r="R538" s="5"/>
      <c r="S538" s="6"/>
      <c r="T538" s="6"/>
      <c r="U538" s="6"/>
      <c r="V538" s="6"/>
      <c r="W538" s="6"/>
      <c r="X538" s="6"/>
    </row>
    <row r="539" spans="13:24" x14ac:dyDescent="0.3">
      <c r="M539" s="6"/>
      <c r="N539" s="6"/>
      <c r="O539" s="6"/>
      <c r="P539" s="6"/>
      <c r="R539" s="5"/>
      <c r="S539" s="6"/>
      <c r="T539" s="6"/>
      <c r="U539" s="6"/>
      <c r="V539" s="6"/>
      <c r="W539" s="6"/>
      <c r="X539" s="6"/>
    </row>
    <row r="540" spans="13:24" x14ac:dyDescent="0.3">
      <c r="M540" s="6"/>
      <c r="N540" s="6"/>
      <c r="O540" s="6"/>
      <c r="P540" s="6"/>
      <c r="R540" s="5"/>
      <c r="S540" s="6"/>
      <c r="T540" s="6"/>
      <c r="U540" s="6"/>
      <c r="V540" s="6"/>
      <c r="W540" s="6"/>
      <c r="X540" s="6"/>
    </row>
    <row r="541" spans="13:24" x14ac:dyDescent="0.3">
      <c r="M541" s="6"/>
      <c r="N541" s="6"/>
      <c r="O541" s="6"/>
      <c r="P541" s="6"/>
      <c r="R541" s="5"/>
      <c r="S541" s="6"/>
      <c r="T541" s="6"/>
      <c r="U541" s="6"/>
      <c r="V541" s="6"/>
      <c r="W541" s="6"/>
      <c r="X541" s="6"/>
    </row>
    <row r="542" spans="13:24" x14ac:dyDescent="0.3">
      <c r="M542" s="6"/>
      <c r="N542" s="6"/>
      <c r="O542" s="6"/>
      <c r="P542" s="6"/>
      <c r="R542" s="5"/>
      <c r="S542" s="6"/>
      <c r="T542" s="6"/>
      <c r="U542" s="6"/>
      <c r="V542" s="6"/>
      <c r="W542" s="6"/>
      <c r="X542" s="6"/>
    </row>
    <row r="543" spans="13:24" x14ac:dyDescent="0.3">
      <c r="M543" s="6"/>
      <c r="N543" s="6"/>
      <c r="O543" s="6"/>
      <c r="P543" s="6"/>
      <c r="R543" s="5"/>
      <c r="S543" s="6"/>
      <c r="T543" s="6"/>
      <c r="U543" s="6"/>
      <c r="V543" s="6"/>
      <c r="W543" s="6"/>
      <c r="X543" s="6"/>
    </row>
    <row r="544" spans="13:24" x14ac:dyDescent="0.3">
      <c r="M544" s="6"/>
      <c r="N544" s="6"/>
      <c r="O544" s="6"/>
      <c r="P544" s="6"/>
      <c r="R544" s="5"/>
      <c r="S544" s="6"/>
      <c r="T544" s="6"/>
      <c r="U544" s="6"/>
      <c r="V544" s="6"/>
      <c r="W544" s="6"/>
      <c r="X544" s="6"/>
    </row>
    <row r="545" spans="13:24" x14ac:dyDescent="0.3">
      <c r="M545" s="6"/>
      <c r="N545" s="6"/>
      <c r="O545" s="6"/>
      <c r="P545" s="6"/>
      <c r="R545" s="5"/>
      <c r="S545" s="6"/>
      <c r="T545" s="6"/>
      <c r="U545" s="6"/>
      <c r="V545" s="6"/>
      <c r="W545" s="6"/>
      <c r="X545" s="6"/>
    </row>
    <row r="546" spans="13:24" x14ac:dyDescent="0.3">
      <c r="M546" s="6"/>
      <c r="N546" s="6"/>
      <c r="O546" s="6"/>
      <c r="P546" s="6"/>
      <c r="R546" s="5"/>
      <c r="S546" s="6"/>
      <c r="T546" s="6"/>
      <c r="U546" s="6"/>
      <c r="V546" s="6"/>
      <c r="W546" s="6"/>
      <c r="X546" s="6"/>
    </row>
    <row r="547" spans="13:24" x14ac:dyDescent="0.3">
      <c r="M547" s="6"/>
      <c r="N547" s="6"/>
      <c r="O547" s="6"/>
      <c r="P547" s="6"/>
      <c r="R547" s="5"/>
      <c r="S547" s="6"/>
      <c r="T547" s="6"/>
      <c r="U547" s="6"/>
      <c r="V547" s="6"/>
      <c r="W547" s="6"/>
      <c r="X547" s="6"/>
    </row>
    <row r="548" spans="13:24" x14ac:dyDescent="0.3">
      <c r="M548" s="6"/>
      <c r="N548" s="6"/>
      <c r="O548" s="6"/>
      <c r="P548" s="6"/>
      <c r="R548" s="5"/>
      <c r="S548" s="6"/>
      <c r="T548" s="6"/>
      <c r="U548" s="6"/>
      <c r="V548" s="6"/>
      <c r="W548" s="6"/>
      <c r="X548" s="6"/>
    </row>
    <row r="549" spans="13:24" x14ac:dyDescent="0.3">
      <c r="M549" s="6"/>
      <c r="N549" s="6"/>
      <c r="O549" s="6"/>
      <c r="P549" s="6"/>
      <c r="R549" s="5"/>
      <c r="S549" s="6"/>
      <c r="T549" s="6"/>
      <c r="U549" s="6"/>
      <c r="V549" s="6"/>
      <c r="W549" s="6"/>
      <c r="X549" s="6"/>
    </row>
    <row r="550" spans="13:24" x14ac:dyDescent="0.3">
      <c r="M550" s="6"/>
      <c r="N550" s="6"/>
      <c r="O550" s="6"/>
      <c r="P550" s="6"/>
      <c r="R550" s="5"/>
      <c r="S550" s="6"/>
      <c r="T550" s="6"/>
      <c r="U550" s="6"/>
      <c r="V550" s="6"/>
      <c r="W550" s="6"/>
      <c r="X550" s="6"/>
    </row>
    <row r="551" spans="13:24" x14ac:dyDescent="0.3">
      <c r="M551" s="6"/>
      <c r="N551" s="6"/>
      <c r="O551" s="6"/>
      <c r="P551" s="6"/>
      <c r="R551" s="5"/>
      <c r="S551" s="6"/>
      <c r="T551" s="6"/>
      <c r="U551" s="6"/>
      <c r="V551" s="6"/>
      <c r="W551" s="6"/>
      <c r="X551" s="6"/>
    </row>
    <row r="552" spans="13:24" x14ac:dyDescent="0.3">
      <c r="M552" s="6"/>
      <c r="N552" s="6"/>
      <c r="O552" s="6"/>
      <c r="P552" s="6"/>
      <c r="R552" s="5"/>
      <c r="S552" s="6"/>
      <c r="T552" s="6"/>
      <c r="U552" s="6"/>
      <c r="V552" s="6"/>
      <c r="W552" s="6"/>
      <c r="X552" s="6"/>
    </row>
    <row r="553" spans="13:24" x14ac:dyDescent="0.3">
      <c r="M553" s="6"/>
      <c r="N553" s="6"/>
      <c r="O553" s="6"/>
      <c r="P553" s="6"/>
      <c r="R553" s="5"/>
      <c r="S553" s="6"/>
      <c r="T553" s="6"/>
      <c r="U553" s="6"/>
      <c r="V553" s="6"/>
      <c r="W553" s="6"/>
      <c r="X553" s="6"/>
    </row>
    <row r="554" spans="13:24" x14ac:dyDescent="0.3">
      <c r="M554" s="6"/>
      <c r="N554" s="6"/>
      <c r="O554" s="6"/>
      <c r="P554" s="6"/>
      <c r="R554" s="5"/>
      <c r="S554" s="6"/>
      <c r="T554" s="6"/>
      <c r="U554" s="6"/>
      <c r="V554" s="6"/>
      <c r="W554" s="6"/>
      <c r="X554" s="6"/>
    </row>
    <row r="555" spans="13:24" x14ac:dyDescent="0.3">
      <c r="M555" s="6"/>
      <c r="N555" s="6"/>
      <c r="O555" s="6"/>
      <c r="P555" s="6"/>
      <c r="R555" s="5"/>
      <c r="S555" s="6"/>
      <c r="T555" s="6"/>
      <c r="U555" s="6"/>
      <c r="V555" s="6"/>
      <c r="W555" s="6"/>
      <c r="X555" s="6"/>
    </row>
    <row r="556" spans="13:24" x14ac:dyDescent="0.3">
      <c r="M556" s="6"/>
      <c r="N556" s="6"/>
      <c r="O556" s="6"/>
      <c r="P556" s="6"/>
      <c r="R556" s="5"/>
      <c r="S556" s="6"/>
      <c r="T556" s="6"/>
      <c r="U556" s="6"/>
      <c r="V556" s="6"/>
      <c r="W556" s="6"/>
      <c r="X556" s="6"/>
    </row>
    <row r="557" spans="13:24" x14ac:dyDescent="0.3">
      <c r="M557" s="6"/>
      <c r="N557" s="6"/>
      <c r="O557" s="6"/>
      <c r="P557" s="6"/>
      <c r="R557" s="5"/>
      <c r="S557" s="6"/>
      <c r="T557" s="6"/>
      <c r="U557" s="6"/>
      <c r="V557" s="6"/>
      <c r="W557" s="6"/>
      <c r="X557" s="6"/>
    </row>
    <row r="558" spans="13:24" x14ac:dyDescent="0.3">
      <c r="M558" s="6"/>
      <c r="N558" s="6"/>
      <c r="O558" s="6"/>
      <c r="P558" s="6"/>
      <c r="R558" s="5"/>
      <c r="S558" s="6"/>
      <c r="T558" s="6"/>
      <c r="U558" s="6"/>
      <c r="V558" s="6"/>
      <c r="W558" s="6"/>
      <c r="X558" s="6"/>
    </row>
    <row r="559" spans="13:24" x14ac:dyDescent="0.3">
      <c r="M559" s="6"/>
      <c r="N559" s="6"/>
      <c r="O559" s="6"/>
      <c r="P559" s="6"/>
      <c r="R559" s="5"/>
      <c r="S559" s="6"/>
      <c r="T559" s="6"/>
      <c r="U559" s="6"/>
      <c r="V559" s="6"/>
      <c r="W559" s="6"/>
      <c r="X559" s="6"/>
    </row>
    <row r="560" spans="13:24" x14ac:dyDescent="0.3">
      <c r="M560" s="6"/>
      <c r="N560" s="6"/>
      <c r="O560" s="6"/>
      <c r="P560" s="6"/>
      <c r="R560" s="5"/>
      <c r="S560" s="6"/>
      <c r="T560" s="6"/>
      <c r="U560" s="6"/>
      <c r="V560" s="6"/>
      <c r="W560" s="6"/>
      <c r="X560" s="6"/>
    </row>
    <row r="561" spans="13:24" x14ac:dyDescent="0.3">
      <c r="M561" s="6"/>
      <c r="N561" s="6"/>
      <c r="O561" s="6"/>
      <c r="P561" s="6"/>
      <c r="R561" s="5"/>
      <c r="S561" s="6"/>
      <c r="T561" s="6"/>
      <c r="U561" s="6"/>
      <c r="V561" s="6"/>
      <c r="W561" s="6"/>
      <c r="X561" s="6"/>
    </row>
    <row r="562" spans="13:24" x14ac:dyDescent="0.3">
      <c r="M562" s="6"/>
      <c r="N562" s="6"/>
      <c r="O562" s="6"/>
      <c r="P562" s="6"/>
      <c r="R562" s="5"/>
      <c r="S562" s="6"/>
      <c r="T562" s="6"/>
      <c r="U562" s="6"/>
      <c r="V562" s="6"/>
      <c r="W562" s="6"/>
      <c r="X562" s="6"/>
    </row>
    <row r="563" spans="13:24" x14ac:dyDescent="0.3">
      <c r="M563" s="6"/>
      <c r="N563" s="6"/>
      <c r="O563" s="6"/>
      <c r="P563" s="6"/>
      <c r="R563" s="5"/>
      <c r="S563" s="6"/>
      <c r="T563" s="6"/>
      <c r="U563" s="6"/>
      <c r="V563" s="6"/>
      <c r="W563" s="6"/>
      <c r="X563" s="6"/>
    </row>
    <row r="564" spans="13:24" x14ac:dyDescent="0.3">
      <c r="M564" s="6"/>
      <c r="N564" s="6"/>
      <c r="O564" s="6"/>
      <c r="P564" s="6"/>
      <c r="R564" s="5"/>
      <c r="S564" s="6"/>
      <c r="T564" s="6"/>
      <c r="U564" s="6"/>
      <c r="V564" s="6"/>
      <c r="W564" s="6"/>
      <c r="X564" s="6"/>
    </row>
    <row r="565" spans="13:24" x14ac:dyDescent="0.3">
      <c r="M565" s="6"/>
      <c r="N565" s="6"/>
      <c r="O565" s="6"/>
      <c r="P565" s="6"/>
      <c r="R565" s="5"/>
      <c r="S565" s="6"/>
      <c r="T565" s="6"/>
      <c r="U565" s="6"/>
      <c r="V565" s="6"/>
      <c r="W565" s="6"/>
      <c r="X565" s="6"/>
    </row>
    <row r="566" spans="13:24" x14ac:dyDescent="0.3">
      <c r="M566" s="6"/>
      <c r="N566" s="6"/>
      <c r="O566" s="6"/>
      <c r="P566" s="6"/>
      <c r="R566" s="5"/>
      <c r="S566" s="6"/>
      <c r="T566" s="6"/>
      <c r="U566" s="6"/>
      <c r="V566" s="6"/>
      <c r="W566" s="6"/>
      <c r="X566" s="6"/>
    </row>
    <row r="567" spans="13:24" x14ac:dyDescent="0.3">
      <c r="M567" s="6"/>
      <c r="N567" s="6"/>
      <c r="O567" s="6"/>
      <c r="P567" s="6"/>
      <c r="R567" s="5"/>
      <c r="S567" s="6"/>
      <c r="T567" s="6"/>
      <c r="U567" s="6"/>
      <c r="V567" s="6"/>
      <c r="W567" s="6"/>
      <c r="X567" s="6"/>
    </row>
    <row r="568" spans="13:24" x14ac:dyDescent="0.3">
      <c r="M568" s="6"/>
      <c r="N568" s="6"/>
      <c r="O568" s="6"/>
      <c r="P568" s="6"/>
      <c r="R568" s="5"/>
      <c r="S568" s="6"/>
      <c r="T568" s="6"/>
      <c r="U568" s="6"/>
      <c r="V568" s="6"/>
      <c r="W568" s="6"/>
      <c r="X568" s="6"/>
    </row>
    <row r="569" spans="13:24" x14ac:dyDescent="0.3">
      <c r="M569" s="6"/>
      <c r="N569" s="6"/>
      <c r="O569" s="6"/>
      <c r="P569" s="6"/>
      <c r="R569" s="5"/>
      <c r="S569" s="6"/>
      <c r="T569" s="6"/>
      <c r="U569" s="6"/>
      <c r="V569" s="6"/>
      <c r="W569" s="6"/>
      <c r="X569" s="6"/>
    </row>
    <row r="570" spans="13:24" x14ac:dyDescent="0.3">
      <c r="M570" s="6"/>
      <c r="N570" s="6"/>
      <c r="O570" s="6"/>
      <c r="P570" s="6"/>
      <c r="R570" s="5"/>
      <c r="S570" s="6"/>
      <c r="T570" s="6"/>
      <c r="U570" s="6"/>
      <c r="V570" s="6"/>
      <c r="W570" s="6"/>
      <c r="X570" s="6"/>
    </row>
    <row r="571" spans="13:24" x14ac:dyDescent="0.3">
      <c r="M571" s="6"/>
      <c r="N571" s="6"/>
      <c r="O571" s="6"/>
      <c r="P571" s="6"/>
      <c r="R571" s="5"/>
      <c r="S571" s="6"/>
      <c r="T571" s="6"/>
      <c r="U571" s="6"/>
      <c r="V571" s="6"/>
      <c r="W571" s="6"/>
      <c r="X571" s="6"/>
    </row>
    <row r="572" spans="13:24" x14ac:dyDescent="0.3">
      <c r="M572" s="6"/>
      <c r="N572" s="6"/>
      <c r="O572" s="6"/>
      <c r="P572" s="6"/>
      <c r="R572" s="5"/>
      <c r="S572" s="6"/>
      <c r="T572" s="6"/>
      <c r="U572" s="6"/>
      <c r="V572" s="6"/>
      <c r="W572" s="6"/>
      <c r="X572" s="6"/>
    </row>
    <row r="573" spans="13:24" x14ac:dyDescent="0.3">
      <c r="M573" s="6"/>
      <c r="N573" s="6"/>
      <c r="O573" s="6"/>
      <c r="P573" s="6"/>
      <c r="R573" s="5"/>
      <c r="S573" s="6"/>
      <c r="T573" s="6"/>
      <c r="U573" s="6"/>
      <c r="V573" s="6"/>
      <c r="W573" s="6"/>
      <c r="X573" s="6"/>
    </row>
    <row r="574" spans="13:24" x14ac:dyDescent="0.3">
      <c r="M574" s="6"/>
      <c r="N574" s="6"/>
      <c r="O574" s="6"/>
      <c r="P574" s="6"/>
      <c r="R574" s="5"/>
      <c r="S574" s="6"/>
      <c r="T574" s="6"/>
      <c r="U574" s="6"/>
      <c r="V574" s="6"/>
      <c r="W574" s="6"/>
      <c r="X574" s="6"/>
    </row>
    <row r="575" spans="13:24" x14ac:dyDescent="0.3">
      <c r="M575" s="6"/>
      <c r="N575" s="6"/>
      <c r="O575" s="6"/>
      <c r="P575" s="6"/>
      <c r="R575" s="5"/>
      <c r="S575" s="6"/>
      <c r="T575" s="6"/>
      <c r="U575" s="6"/>
      <c r="V575" s="6"/>
      <c r="W575" s="6"/>
      <c r="X575" s="6"/>
    </row>
    <row r="576" spans="13:24" x14ac:dyDescent="0.3">
      <c r="M576" s="6"/>
      <c r="N576" s="6"/>
      <c r="O576" s="6"/>
      <c r="P576" s="6"/>
      <c r="R576" s="5"/>
      <c r="S576" s="6"/>
      <c r="T576" s="6"/>
      <c r="U576" s="6"/>
      <c r="V576" s="6"/>
      <c r="W576" s="6"/>
      <c r="X576" s="6"/>
    </row>
    <row r="577" spans="13:24" x14ac:dyDescent="0.3">
      <c r="M577" s="6"/>
      <c r="N577" s="6"/>
      <c r="O577" s="6"/>
      <c r="P577" s="6"/>
      <c r="R577" s="5"/>
      <c r="S577" s="6"/>
      <c r="T577" s="6"/>
      <c r="U577" s="6"/>
      <c r="V577" s="6"/>
      <c r="W577" s="6"/>
      <c r="X577" s="6"/>
    </row>
    <row r="578" spans="13:24" x14ac:dyDescent="0.3">
      <c r="M578" s="6"/>
      <c r="N578" s="6"/>
      <c r="O578" s="6"/>
      <c r="P578" s="6"/>
      <c r="R578" s="5"/>
      <c r="S578" s="6"/>
      <c r="T578" s="6"/>
      <c r="U578" s="6"/>
      <c r="V578" s="6"/>
      <c r="W578" s="6"/>
      <c r="X578" s="6"/>
    </row>
    <row r="579" spans="13:24" x14ac:dyDescent="0.3">
      <c r="M579" s="6"/>
      <c r="N579" s="6"/>
      <c r="O579" s="6"/>
      <c r="P579" s="6"/>
      <c r="R579" s="5"/>
      <c r="S579" s="6"/>
      <c r="T579" s="6"/>
      <c r="U579" s="6"/>
      <c r="V579" s="6"/>
      <c r="W579" s="6"/>
      <c r="X579" s="6"/>
    </row>
    <row r="580" spans="13:24" x14ac:dyDescent="0.3">
      <c r="M580" s="6"/>
      <c r="N580" s="6"/>
      <c r="O580" s="6"/>
      <c r="P580" s="6"/>
      <c r="R580" s="5"/>
      <c r="S580" s="6"/>
      <c r="T580" s="6"/>
      <c r="U580" s="6"/>
      <c r="V580" s="6"/>
      <c r="W580" s="6"/>
      <c r="X580" s="6"/>
    </row>
    <row r="581" spans="13:24" x14ac:dyDescent="0.3">
      <c r="M581" s="6"/>
      <c r="N581" s="6"/>
      <c r="O581" s="6"/>
      <c r="P581" s="6"/>
      <c r="R581" s="5"/>
      <c r="S581" s="6"/>
      <c r="T581" s="6"/>
      <c r="U581" s="6"/>
      <c r="V581" s="6"/>
      <c r="W581" s="6"/>
      <c r="X581" s="6"/>
    </row>
    <row r="582" spans="13:24" x14ac:dyDescent="0.3">
      <c r="M582" s="6"/>
      <c r="N582" s="6"/>
      <c r="O582" s="6"/>
      <c r="P582" s="6"/>
      <c r="R582" s="5"/>
      <c r="S582" s="6"/>
      <c r="T582" s="6"/>
      <c r="U582" s="6"/>
      <c r="V582" s="6"/>
      <c r="W582" s="6"/>
      <c r="X582" s="6"/>
    </row>
    <row r="583" spans="13:24" x14ac:dyDescent="0.3">
      <c r="M583" s="6"/>
      <c r="N583" s="6"/>
      <c r="O583" s="6"/>
      <c r="P583" s="6"/>
      <c r="R583" s="5"/>
      <c r="S583" s="6"/>
      <c r="T583" s="6"/>
      <c r="U583" s="6"/>
      <c r="V583" s="6"/>
      <c r="W583" s="6"/>
      <c r="X583" s="6"/>
    </row>
    <row r="584" spans="13:24" x14ac:dyDescent="0.3">
      <c r="M584" s="6"/>
      <c r="N584" s="6"/>
      <c r="O584" s="6"/>
      <c r="P584" s="6"/>
      <c r="R584" s="5"/>
      <c r="S584" s="6"/>
      <c r="T584" s="6"/>
      <c r="U584" s="6"/>
      <c r="V584" s="6"/>
      <c r="W584" s="6"/>
      <c r="X584" s="6"/>
    </row>
    <row r="585" spans="13:24" x14ac:dyDescent="0.3">
      <c r="M585" s="6"/>
      <c r="N585" s="6"/>
      <c r="O585" s="6"/>
      <c r="P585" s="6"/>
      <c r="R585" s="5"/>
      <c r="S585" s="6"/>
      <c r="T585" s="6"/>
      <c r="U585" s="6"/>
      <c r="V585" s="6"/>
      <c r="W585" s="6"/>
      <c r="X585" s="6"/>
    </row>
    <row r="586" spans="13:24" x14ac:dyDescent="0.3">
      <c r="M586" s="6"/>
      <c r="N586" s="6"/>
      <c r="O586" s="6"/>
      <c r="P586" s="6"/>
      <c r="R586" s="5"/>
      <c r="S586" s="6"/>
      <c r="T586" s="6"/>
      <c r="U586" s="6"/>
      <c r="V586" s="6"/>
      <c r="W586" s="6"/>
      <c r="X586" s="6"/>
    </row>
    <row r="587" spans="13:24" x14ac:dyDescent="0.3">
      <c r="M587" s="6"/>
      <c r="N587" s="6"/>
      <c r="O587" s="6"/>
      <c r="P587" s="6"/>
      <c r="R587" s="5"/>
      <c r="S587" s="6"/>
      <c r="T587" s="6"/>
      <c r="U587" s="6"/>
      <c r="V587" s="6"/>
      <c r="W587" s="6"/>
      <c r="X587" s="6"/>
    </row>
    <row r="588" spans="13:24" x14ac:dyDescent="0.3">
      <c r="M588" s="6"/>
      <c r="N588" s="6"/>
      <c r="O588" s="6"/>
      <c r="P588" s="6"/>
      <c r="R588" s="5"/>
      <c r="S588" s="6"/>
      <c r="T588" s="6"/>
      <c r="U588" s="6"/>
      <c r="V588" s="6"/>
      <c r="W588" s="6"/>
      <c r="X588" s="6"/>
    </row>
    <row r="589" spans="13:24" x14ac:dyDescent="0.3">
      <c r="M589" s="6"/>
      <c r="N589" s="6"/>
      <c r="O589" s="6"/>
      <c r="P589" s="6"/>
      <c r="R589" s="5"/>
      <c r="S589" s="6"/>
      <c r="T589" s="6"/>
      <c r="U589" s="6"/>
      <c r="V589" s="6"/>
      <c r="W589" s="6"/>
      <c r="X589" s="6"/>
    </row>
    <row r="590" spans="13:24" x14ac:dyDescent="0.3">
      <c r="M590" s="6"/>
      <c r="N590" s="6"/>
      <c r="O590" s="6"/>
      <c r="P590" s="6"/>
      <c r="R590" s="5"/>
      <c r="S590" s="6"/>
      <c r="T590" s="6"/>
      <c r="U590" s="6"/>
      <c r="V590" s="6"/>
      <c r="W590" s="6"/>
      <c r="X590" s="6"/>
    </row>
    <row r="591" spans="13:24" x14ac:dyDescent="0.3">
      <c r="M591" s="6"/>
      <c r="N591" s="6"/>
      <c r="O591" s="6"/>
      <c r="P591" s="6"/>
      <c r="R591" s="5"/>
      <c r="S591" s="6"/>
      <c r="T591" s="6"/>
      <c r="U591" s="6"/>
      <c r="V591" s="6"/>
      <c r="W591" s="6"/>
      <c r="X591" s="6"/>
    </row>
    <row r="592" spans="13:24" x14ac:dyDescent="0.3">
      <c r="M592" s="6"/>
      <c r="N592" s="6"/>
      <c r="O592" s="6"/>
      <c r="P592" s="6"/>
      <c r="R592" s="5"/>
      <c r="S592" s="6"/>
      <c r="T592" s="6"/>
      <c r="U592" s="6"/>
      <c r="V592" s="6"/>
      <c r="W592" s="6"/>
      <c r="X592" s="6"/>
    </row>
    <row r="593" spans="13:24" x14ac:dyDescent="0.3">
      <c r="M593" s="6"/>
      <c r="N593" s="6"/>
      <c r="O593" s="6"/>
      <c r="P593" s="6"/>
      <c r="R593" s="5"/>
      <c r="S593" s="6"/>
      <c r="T593" s="6"/>
      <c r="U593" s="6"/>
      <c r="V593" s="6"/>
      <c r="W593" s="6"/>
      <c r="X593" s="6"/>
    </row>
    <row r="594" spans="13:24" x14ac:dyDescent="0.3">
      <c r="M594" s="6"/>
      <c r="N594" s="6"/>
      <c r="O594" s="6"/>
      <c r="P594" s="6"/>
      <c r="R594" s="5"/>
      <c r="S594" s="6"/>
      <c r="T594" s="6"/>
      <c r="U594" s="6"/>
      <c r="V594" s="6"/>
      <c r="W594" s="6"/>
      <c r="X594" s="6"/>
    </row>
    <row r="595" spans="13:24" x14ac:dyDescent="0.3">
      <c r="M595" s="6"/>
      <c r="N595" s="6"/>
      <c r="O595" s="6"/>
      <c r="P595" s="6"/>
      <c r="R595" s="5"/>
      <c r="S595" s="6"/>
      <c r="T595" s="6"/>
      <c r="U595" s="6"/>
      <c r="V595" s="6"/>
      <c r="W595" s="6"/>
      <c r="X595" s="6"/>
    </row>
    <row r="596" spans="13:24" x14ac:dyDescent="0.3">
      <c r="M596" s="6"/>
      <c r="N596" s="6"/>
      <c r="O596" s="6"/>
      <c r="P596" s="6"/>
      <c r="R596" s="5"/>
      <c r="S596" s="6"/>
      <c r="T596" s="6"/>
      <c r="U596" s="6"/>
      <c r="V596" s="6"/>
      <c r="W596" s="6"/>
      <c r="X596" s="6"/>
    </row>
    <row r="597" spans="13:24" x14ac:dyDescent="0.3">
      <c r="M597" s="6"/>
      <c r="N597" s="6"/>
      <c r="O597" s="6"/>
      <c r="P597" s="6"/>
      <c r="R597" s="5"/>
      <c r="S597" s="6"/>
      <c r="T597" s="6"/>
      <c r="U597" s="6"/>
      <c r="V597" s="6"/>
      <c r="W597" s="6"/>
      <c r="X597" s="6"/>
    </row>
    <row r="598" spans="13:24" x14ac:dyDescent="0.3">
      <c r="M598" s="6"/>
      <c r="N598" s="6"/>
      <c r="O598" s="6"/>
      <c r="P598" s="6"/>
      <c r="R598" s="5"/>
      <c r="S598" s="6"/>
      <c r="T598" s="6"/>
      <c r="U598" s="6"/>
      <c r="V598" s="6"/>
      <c r="W598" s="6"/>
      <c r="X598" s="6"/>
    </row>
    <row r="599" spans="13:24" x14ac:dyDescent="0.3">
      <c r="M599" s="6"/>
      <c r="N599" s="6"/>
      <c r="O599" s="6"/>
      <c r="P599" s="6"/>
      <c r="R599" s="5"/>
      <c r="S599" s="6"/>
      <c r="T599" s="6"/>
      <c r="U599" s="6"/>
      <c r="V599" s="6"/>
      <c r="W599" s="6"/>
      <c r="X599" s="6"/>
    </row>
    <row r="600" spans="13:24" x14ac:dyDescent="0.3">
      <c r="M600" s="6"/>
      <c r="N600" s="6"/>
      <c r="O600" s="6"/>
      <c r="P600" s="6"/>
      <c r="R600" s="5"/>
      <c r="S600" s="6"/>
      <c r="T600" s="6"/>
      <c r="U600" s="6"/>
      <c r="V600" s="6"/>
      <c r="W600" s="6"/>
      <c r="X600" s="6"/>
    </row>
    <row r="601" spans="13:24" x14ac:dyDescent="0.3">
      <c r="M601" s="6"/>
      <c r="N601" s="6"/>
      <c r="O601" s="6"/>
      <c r="P601" s="6"/>
      <c r="R601" s="5"/>
      <c r="S601" s="6"/>
      <c r="T601" s="6"/>
      <c r="U601" s="6"/>
      <c r="V601" s="6"/>
      <c r="W601" s="6"/>
      <c r="X601" s="6"/>
    </row>
    <row r="602" spans="13:24" x14ac:dyDescent="0.3">
      <c r="M602" s="6"/>
      <c r="N602" s="6"/>
      <c r="O602" s="6"/>
      <c r="P602" s="6"/>
      <c r="R602" s="5"/>
      <c r="S602" s="6"/>
      <c r="T602" s="6"/>
      <c r="U602" s="6"/>
      <c r="V602" s="6"/>
      <c r="W602" s="6"/>
      <c r="X602" s="6"/>
    </row>
    <row r="603" spans="13:24" x14ac:dyDescent="0.3">
      <c r="M603" s="6"/>
      <c r="N603" s="6"/>
      <c r="O603" s="6"/>
      <c r="P603" s="6"/>
      <c r="R603" s="5"/>
      <c r="S603" s="6"/>
      <c r="T603" s="6"/>
      <c r="U603" s="6"/>
      <c r="V603" s="6"/>
      <c r="W603" s="6"/>
      <c r="X603" s="6"/>
    </row>
    <row r="604" spans="13:24" x14ac:dyDescent="0.3">
      <c r="M604" s="6"/>
      <c r="N604" s="6"/>
      <c r="O604" s="6"/>
      <c r="P604" s="6"/>
      <c r="R604" s="5"/>
      <c r="S604" s="6"/>
      <c r="T604" s="6"/>
      <c r="U604" s="6"/>
      <c r="V604" s="6"/>
      <c r="W604" s="6"/>
      <c r="X604" s="6"/>
    </row>
    <row r="605" spans="13:24" x14ac:dyDescent="0.3">
      <c r="M605" s="6"/>
      <c r="N605" s="6"/>
      <c r="O605" s="6"/>
      <c r="P605" s="6"/>
      <c r="R605" s="5"/>
      <c r="S605" s="6"/>
      <c r="T605" s="6"/>
      <c r="U605" s="6"/>
      <c r="V605" s="6"/>
      <c r="W605" s="6"/>
      <c r="X605" s="6"/>
    </row>
    <row r="606" spans="13:24" x14ac:dyDescent="0.3">
      <c r="M606" s="6"/>
      <c r="N606" s="6"/>
      <c r="O606" s="6"/>
      <c r="P606" s="6"/>
      <c r="R606" s="5"/>
      <c r="S606" s="6"/>
      <c r="T606" s="6"/>
      <c r="U606" s="6"/>
      <c r="V606" s="6"/>
      <c r="W606" s="6"/>
      <c r="X606" s="6"/>
    </row>
    <row r="607" spans="13:24" x14ac:dyDescent="0.3">
      <c r="M607" s="6"/>
      <c r="N607" s="6"/>
      <c r="O607" s="6"/>
      <c r="P607" s="6"/>
      <c r="R607" s="5"/>
      <c r="S607" s="6"/>
      <c r="T607" s="6"/>
      <c r="U607" s="6"/>
      <c r="V607" s="6"/>
      <c r="W607" s="6"/>
      <c r="X607" s="6"/>
    </row>
    <row r="608" spans="13:24" x14ac:dyDescent="0.3">
      <c r="M608" s="6"/>
      <c r="N608" s="6"/>
      <c r="O608" s="6"/>
      <c r="P608" s="6"/>
      <c r="R608" s="5"/>
      <c r="S608" s="6"/>
      <c r="T608" s="6"/>
      <c r="U608" s="6"/>
      <c r="V608" s="6"/>
      <c r="W608" s="6"/>
      <c r="X608" s="6"/>
    </row>
    <row r="609" spans="13:24" x14ac:dyDescent="0.3">
      <c r="M609" s="6"/>
      <c r="N609" s="6"/>
      <c r="O609" s="6"/>
      <c r="P609" s="6"/>
      <c r="R609" s="5"/>
      <c r="S609" s="6"/>
      <c r="T609" s="6"/>
      <c r="U609" s="6"/>
      <c r="V609" s="6"/>
      <c r="W609" s="6"/>
      <c r="X609" s="6"/>
    </row>
    <row r="610" spans="13:24" x14ac:dyDescent="0.3">
      <c r="M610" s="6"/>
      <c r="N610" s="6"/>
      <c r="O610" s="6"/>
      <c r="P610" s="6"/>
      <c r="R610" s="5"/>
      <c r="S610" s="6"/>
      <c r="T610" s="6"/>
      <c r="U610" s="6"/>
      <c r="V610" s="6"/>
      <c r="W610" s="6"/>
      <c r="X610" s="6"/>
    </row>
    <row r="611" spans="13:24" x14ac:dyDescent="0.3">
      <c r="M611" s="6"/>
      <c r="N611" s="6"/>
      <c r="O611" s="6"/>
      <c r="P611" s="6"/>
      <c r="R611" s="5"/>
      <c r="S611" s="6"/>
      <c r="T611" s="6"/>
      <c r="U611" s="6"/>
      <c r="V611" s="6"/>
      <c r="W611" s="6"/>
      <c r="X611" s="6"/>
    </row>
    <row r="612" spans="13:24" x14ac:dyDescent="0.3">
      <c r="M612" s="6"/>
      <c r="N612" s="6"/>
      <c r="O612" s="6"/>
      <c r="P612" s="6"/>
      <c r="R612" s="5"/>
      <c r="S612" s="6"/>
      <c r="T612" s="6"/>
      <c r="U612" s="6"/>
      <c r="V612" s="6"/>
      <c r="W612" s="6"/>
      <c r="X612" s="6"/>
    </row>
    <row r="613" spans="13:24" x14ac:dyDescent="0.3">
      <c r="M613" s="6"/>
      <c r="N613" s="6"/>
      <c r="O613" s="6"/>
      <c r="P613" s="6"/>
      <c r="R613" s="5"/>
      <c r="S613" s="6"/>
      <c r="T613" s="6"/>
      <c r="U613" s="6"/>
      <c r="V613" s="6"/>
      <c r="W613" s="6"/>
      <c r="X613" s="6"/>
    </row>
    <row r="614" spans="13:24" x14ac:dyDescent="0.3">
      <c r="M614" s="6"/>
      <c r="N614" s="6"/>
      <c r="O614" s="6"/>
      <c r="P614" s="6"/>
      <c r="R614" s="5"/>
      <c r="S614" s="6"/>
      <c r="T614" s="6"/>
      <c r="U614" s="6"/>
      <c r="V614" s="6"/>
      <c r="W614" s="6"/>
      <c r="X614" s="6"/>
    </row>
    <row r="615" spans="13:24" x14ac:dyDescent="0.3">
      <c r="M615" s="6"/>
      <c r="N615" s="6"/>
      <c r="O615" s="6"/>
      <c r="P615" s="6"/>
      <c r="R615" s="5"/>
      <c r="S615" s="6"/>
      <c r="T615" s="6"/>
      <c r="U615" s="6"/>
      <c r="V615" s="6"/>
      <c r="W615" s="6"/>
      <c r="X615" s="6"/>
    </row>
    <row r="616" spans="13:24" x14ac:dyDescent="0.3">
      <c r="M616" s="6"/>
      <c r="N616" s="6"/>
      <c r="O616" s="6"/>
      <c r="P616" s="6"/>
      <c r="R616" s="5"/>
      <c r="S616" s="6"/>
      <c r="T616" s="6"/>
      <c r="U616" s="6"/>
      <c r="V616" s="6"/>
      <c r="W616" s="6"/>
      <c r="X616" s="6"/>
    </row>
    <row r="617" spans="13:24" x14ac:dyDescent="0.3">
      <c r="M617" s="6"/>
      <c r="N617" s="6"/>
      <c r="O617" s="6"/>
      <c r="P617" s="6"/>
      <c r="R617" s="5"/>
      <c r="S617" s="6"/>
      <c r="T617" s="6"/>
      <c r="U617" s="6"/>
      <c r="V617" s="6"/>
      <c r="W617" s="6"/>
      <c r="X617" s="6"/>
    </row>
    <row r="618" spans="13:24" x14ac:dyDescent="0.3">
      <c r="M618" s="6"/>
      <c r="N618" s="6"/>
      <c r="O618" s="6"/>
      <c r="P618" s="6"/>
      <c r="R618" s="5"/>
      <c r="S618" s="6"/>
      <c r="T618" s="6"/>
      <c r="U618" s="6"/>
      <c r="V618" s="6"/>
      <c r="W618" s="6"/>
      <c r="X618" s="6"/>
    </row>
    <row r="619" spans="13:24" x14ac:dyDescent="0.3">
      <c r="M619" s="6"/>
      <c r="N619" s="6"/>
      <c r="O619" s="6"/>
      <c r="P619" s="6"/>
      <c r="R619" s="5"/>
      <c r="S619" s="6"/>
      <c r="T619" s="6"/>
      <c r="U619" s="6"/>
      <c r="V619" s="6"/>
      <c r="W619" s="6"/>
      <c r="X619" s="6"/>
    </row>
    <row r="620" spans="13:24" x14ac:dyDescent="0.3">
      <c r="M620" s="6"/>
      <c r="N620" s="6"/>
      <c r="O620" s="6"/>
      <c r="P620" s="6"/>
      <c r="R620" s="5"/>
      <c r="S620" s="6"/>
      <c r="T620" s="6"/>
      <c r="U620" s="6"/>
      <c r="V620" s="6"/>
      <c r="W620" s="6"/>
      <c r="X620" s="6"/>
    </row>
    <row r="621" spans="13:24" x14ac:dyDescent="0.3">
      <c r="M621" s="6"/>
      <c r="N621" s="6"/>
      <c r="O621" s="6"/>
      <c r="P621" s="6"/>
      <c r="R621" s="5"/>
      <c r="S621" s="6"/>
      <c r="T621" s="6"/>
      <c r="U621" s="6"/>
      <c r="V621" s="6"/>
      <c r="W621" s="6"/>
      <c r="X621" s="6"/>
    </row>
    <row r="622" spans="13:24" x14ac:dyDescent="0.3">
      <c r="M622" s="6"/>
      <c r="N622" s="6"/>
      <c r="O622" s="6"/>
      <c r="P622" s="6"/>
      <c r="R622" s="5"/>
      <c r="S622" s="6"/>
      <c r="T622" s="6"/>
      <c r="U622" s="6"/>
      <c r="V622" s="6"/>
      <c r="W622" s="6"/>
      <c r="X622" s="6"/>
    </row>
    <row r="623" spans="13:24" x14ac:dyDescent="0.3">
      <c r="M623" s="6"/>
      <c r="N623" s="6"/>
      <c r="O623" s="6"/>
      <c r="P623" s="6"/>
      <c r="R623" s="5"/>
      <c r="S623" s="6"/>
      <c r="T623" s="6"/>
      <c r="U623" s="6"/>
      <c r="V623" s="6"/>
      <c r="W623" s="6"/>
      <c r="X623" s="6"/>
    </row>
    <row r="624" spans="13:24" x14ac:dyDescent="0.3">
      <c r="M624" s="6"/>
      <c r="N624" s="6"/>
      <c r="O624" s="6"/>
      <c r="P624" s="6"/>
      <c r="R624" s="5"/>
      <c r="S624" s="6"/>
      <c r="T624" s="6"/>
      <c r="U624" s="6"/>
      <c r="V624" s="6"/>
      <c r="W624" s="6"/>
      <c r="X624" s="6"/>
    </row>
    <row r="625" spans="13:24" x14ac:dyDescent="0.3">
      <c r="M625" s="6"/>
      <c r="N625" s="6"/>
      <c r="O625" s="6"/>
      <c r="P625" s="6"/>
      <c r="R625" s="5"/>
      <c r="S625" s="6"/>
      <c r="T625" s="6"/>
      <c r="U625" s="6"/>
      <c r="V625" s="6"/>
      <c r="W625" s="6"/>
      <c r="X625" s="6"/>
    </row>
    <row r="626" spans="13:24" x14ac:dyDescent="0.3">
      <c r="M626" s="6"/>
      <c r="N626" s="6"/>
      <c r="O626" s="6"/>
      <c r="P626" s="6"/>
      <c r="R626" s="5"/>
      <c r="S626" s="6"/>
      <c r="T626" s="6"/>
      <c r="U626" s="6"/>
      <c r="V626" s="6"/>
      <c r="W626" s="6"/>
      <c r="X626" s="6"/>
    </row>
    <row r="627" spans="13:24" x14ac:dyDescent="0.3">
      <c r="M627" s="6"/>
      <c r="N627" s="6"/>
      <c r="O627" s="6"/>
      <c r="P627" s="6"/>
      <c r="R627" s="5"/>
      <c r="S627" s="6"/>
      <c r="T627" s="6"/>
      <c r="U627" s="6"/>
      <c r="V627" s="6"/>
      <c r="W627" s="6"/>
      <c r="X627" s="6"/>
    </row>
    <row r="628" spans="13:24" x14ac:dyDescent="0.3">
      <c r="M628" s="6"/>
      <c r="N628" s="6"/>
      <c r="O628" s="6"/>
      <c r="P628" s="6"/>
      <c r="R628" s="5"/>
      <c r="S628" s="6"/>
      <c r="T628" s="6"/>
      <c r="U628" s="6"/>
      <c r="V628" s="6"/>
      <c r="W628" s="6"/>
      <c r="X628" s="6"/>
    </row>
    <row r="629" spans="13:24" x14ac:dyDescent="0.3">
      <c r="M629" s="6"/>
      <c r="N629" s="6"/>
      <c r="O629" s="6"/>
      <c r="P629" s="6"/>
      <c r="R629" s="5"/>
      <c r="S629" s="6"/>
      <c r="T629" s="6"/>
      <c r="U629" s="6"/>
      <c r="V629" s="6"/>
      <c r="W629" s="6"/>
      <c r="X629" s="6"/>
    </row>
    <row r="630" spans="13:24" x14ac:dyDescent="0.3">
      <c r="M630" s="6"/>
      <c r="N630" s="6"/>
      <c r="O630" s="6"/>
      <c r="P630" s="6"/>
      <c r="R630" s="5"/>
      <c r="S630" s="6"/>
      <c r="T630" s="6"/>
      <c r="U630" s="6"/>
      <c r="V630" s="6"/>
      <c r="W630" s="6"/>
      <c r="X630" s="6"/>
    </row>
    <row r="631" spans="13:24" x14ac:dyDescent="0.3">
      <c r="M631" s="6"/>
      <c r="N631" s="6"/>
      <c r="O631" s="6"/>
      <c r="P631" s="6"/>
      <c r="R631" s="5"/>
      <c r="S631" s="6"/>
      <c r="T631" s="6"/>
      <c r="U631" s="6"/>
      <c r="V631" s="6"/>
      <c r="W631" s="6"/>
      <c r="X631" s="6"/>
    </row>
    <row r="632" spans="13:24" x14ac:dyDescent="0.3">
      <c r="M632" s="6"/>
      <c r="N632" s="6"/>
      <c r="O632" s="6"/>
      <c r="P632" s="6"/>
      <c r="R632" s="5"/>
      <c r="S632" s="6"/>
      <c r="T632" s="6"/>
      <c r="U632" s="6"/>
      <c r="V632" s="6"/>
      <c r="W632" s="6"/>
      <c r="X632" s="6"/>
    </row>
    <row r="633" spans="13:24" x14ac:dyDescent="0.3">
      <c r="M633" s="6"/>
      <c r="N633" s="6"/>
      <c r="O633" s="6"/>
      <c r="P633" s="6"/>
      <c r="R633" s="5"/>
      <c r="S633" s="6"/>
      <c r="T633" s="6"/>
      <c r="U633" s="6"/>
      <c r="V633" s="6"/>
      <c r="W633" s="6"/>
      <c r="X633" s="6"/>
    </row>
    <row r="634" spans="13:24" x14ac:dyDescent="0.3">
      <c r="M634" s="6"/>
      <c r="N634" s="6"/>
      <c r="O634" s="6"/>
      <c r="P634" s="6"/>
      <c r="R634" s="5"/>
      <c r="S634" s="6"/>
      <c r="T634" s="6"/>
      <c r="U634" s="6"/>
      <c r="V634" s="6"/>
      <c r="W634" s="6"/>
      <c r="X634" s="6"/>
    </row>
    <row r="635" spans="13:24" x14ac:dyDescent="0.3">
      <c r="M635" s="6"/>
      <c r="N635" s="6"/>
      <c r="O635" s="6"/>
      <c r="P635" s="6"/>
      <c r="R635" s="5"/>
      <c r="S635" s="6"/>
      <c r="T635" s="6"/>
      <c r="U635" s="6"/>
      <c r="V635" s="6"/>
      <c r="W635" s="6"/>
      <c r="X635" s="6"/>
    </row>
    <row r="636" spans="13:24" x14ac:dyDescent="0.3">
      <c r="M636" s="6"/>
      <c r="N636" s="6"/>
      <c r="O636" s="6"/>
      <c r="P636" s="6"/>
      <c r="R636" s="5"/>
      <c r="S636" s="6"/>
      <c r="T636" s="6"/>
      <c r="U636" s="6"/>
      <c r="V636" s="6"/>
      <c r="W636" s="6"/>
      <c r="X636" s="6"/>
    </row>
    <row r="637" spans="13:24" x14ac:dyDescent="0.3">
      <c r="M637" s="6"/>
      <c r="N637" s="6"/>
      <c r="O637" s="6"/>
      <c r="P637" s="6"/>
      <c r="R637" s="5"/>
      <c r="S637" s="6"/>
      <c r="T637" s="6"/>
      <c r="U637" s="6"/>
      <c r="V637" s="6"/>
      <c r="W637" s="6"/>
      <c r="X637" s="6"/>
    </row>
    <row r="638" spans="13:24" x14ac:dyDescent="0.3">
      <c r="M638" s="6"/>
      <c r="N638" s="6"/>
      <c r="O638" s="6"/>
      <c r="P638" s="6"/>
      <c r="R638" s="5"/>
      <c r="S638" s="6"/>
      <c r="T638" s="6"/>
      <c r="U638" s="6"/>
      <c r="V638" s="6"/>
      <c r="W638" s="6"/>
      <c r="X638" s="6"/>
    </row>
    <row r="639" spans="13:24" x14ac:dyDescent="0.3">
      <c r="M639" s="6"/>
      <c r="N639" s="6"/>
      <c r="O639" s="6"/>
      <c r="P639" s="6"/>
      <c r="R639" s="5"/>
      <c r="S639" s="6"/>
      <c r="T639" s="6"/>
      <c r="U639" s="6"/>
      <c r="V639" s="6"/>
      <c r="W639" s="6"/>
      <c r="X639" s="6"/>
    </row>
    <row r="640" spans="13:24" x14ac:dyDescent="0.3">
      <c r="M640" s="6"/>
      <c r="N640" s="6"/>
      <c r="O640" s="6"/>
      <c r="P640" s="6"/>
      <c r="R640" s="5"/>
      <c r="S640" s="6"/>
      <c r="T640" s="6"/>
      <c r="U640" s="6"/>
      <c r="V640" s="6"/>
      <c r="W640" s="6"/>
      <c r="X640" s="6"/>
    </row>
    <row r="641" spans="13:24" x14ac:dyDescent="0.3">
      <c r="M641" s="6"/>
      <c r="N641" s="6"/>
      <c r="O641" s="6"/>
      <c r="P641" s="6"/>
      <c r="R641" s="5"/>
      <c r="S641" s="6"/>
      <c r="T641" s="6"/>
      <c r="U641" s="6"/>
      <c r="V641" s="6"/>
      <c r="W641" s="6"/>
      <c r="X641" s="6"/>
    </row>
    <row r="642" spans="13:24" x14ac:dyDescent="0.3">
      <c r="M642" s="6"/>
      <c r="N642" s="6"/>
      <c r="O642" s="6"/>
      <c r="P642" s="6"/>
      <c r="R642" s="5"/>
      <c r="S642" s="6"/>
      <c r="T642" s="6"/>
      <c r="U642" s="6"/>
      <c r="V642" s="6"/>
      <c r="W642" s="6"/>
      <c r="X642" s="6"/>
    </row>
    <row r="643" spans="13:24" x14ac:dyDescent="0.3">
      <c r="M643" s="6"/>
      <c r="N643" s="6"/>
      <c r="O643" s="6"/>
      <c r="P643" s="6"/>
      <c r="R643" s="5"/>
      <c r="S643" s="6"/>
      <c r="T643" s="6"/>
      <c r="U643" s="6"/>
      <c r="V643" s="6"/>
      <c r="W643" s="6"/>
      <c r="X643" s="6"/>
    </row>
    <row r="644" spans="13:24" x14ac:dyDescent="0.3">
      <c r="M644" s="6"/>
      <c r="N644" s="6"/>
      <c r="O644" s="6"/>
      <c r="P644" s="6"/>
      <c r="R644" s="5"/>
      <c r="S644" s="6"/>
      <c r="T644" s="6"/>
      <c r="U644" s="6"/>
      <c r="V644" s="6"/>
      <c r="W644" s="6"/>
      <c r="X644" s="6"/>
    </row>
    <row r="645" spans="13:24" x14ac:dyDescent="0.3">
      <c r="M645" s="6"/>
      <c r="N645" s="6"/>
      <c r="O645" s="6"/>
      <c r="P645" s="6"/>
      <c r="R645" s="5"/>
      <c r="S645" s="6"/>
      <c r="T645" s="6"/>
      <c r="U645" s="6"/>
      <c r="V645" s="6"/>
      <c r="W645" s="6"/>
      <c r="X645" s="6"/>
    </row>
    <row r="646" spans="13:24" x14ac:dyDescent="0.3">
      <c r="M646" s="6"/>
      <c r="N646" s="6"/>
      <c r="O646" s="6"/>
      <c r="P646" s="6"/>
      <c r="R646" s="5"/>
      <c r="S646" s="6"/>
      <c r="T646" s="6"/>
      <c r="U646" s="6"/>
      <c r="V646" s="6"/>
      <c r="W646" s="6"/>
      <c r="X646" s="6"/>
    </row>
    <row r="647" spans="13:24" x14ac:dyDescent="0.3">
      <c r="M647" s="6"/>
      <c r="N647" s="6"/>
      <c r="O647" s="6"/>
      <c r="P647" s="6"/>
      <c r="R647" s="5"/>
      <c r="S647" s="6"/>
      <c r="T647" s="6"/>
      <c r="U647" s="6"/>
      <c r="V647" s="6"/>
      <c r="W647" s="6"/>
      <c r="X647" s="6"/>
    </row>
    <row r="648" spans="13:24" x14ac:dyDescent="0.3">
      <c r="M648" s="6"/>
      <c r="N648" s="6"/>
      <c r="O648" s="6"/>
      <c r="P648" s="6"/>
      <c r="R648" s="5"/>
      <c r="S648" s="6"/>
      <c r="T648" s="6"/>
      <c r="U648" s="6"/>
      <c r="V648" s="6"/>
      <c r="W648" s="6"/>
      <c r="X648" s="6"/>
    </row>
    <row r="649" spans="13:24" x14ac:dyDescent="0.3">
      <c r="M649" s="6"/>
      <c r="N649" s="6"/>
      <c r="O649" s="6"/>
      <c r="P649" s="6"/>
      <c r="R649" s="5"/>
      <c r="S649" s="6"/>
      <c r="T649" s="6"/>
      <c r="U649" s="6"/>
      <c r="V649" s="6"/>
      <c r="W649" s="6"/>
      <c r="X649" s="6"/>
    </row>
    <row r="650" spans="13:24" x14ac:dyDescent="0.3">
      <c r="M650" s="6"/>
      <c r="N650" s="6"/>
      <c r="O650" s="6"/>
      <c r="P650" s="6"/>
      <c r="R650" s="5"/>
      <c r="S650" s="6"/>
      <c r="T650" s="6"/>
      <c r="U650" s="6"/>
      <c r="V650" s="6"/>
      <c r="W650" s="6"/>
      <c r="X650" s="6"/>
    </row>
    <row r="651" spans="13:24" x14ac:dyDescent="0.3">
      <c r="M651" s="6"/>
      <c r="N651" s="6"/>
      <c r="O651" s="6"/>
      <c r="P651" s="6"/>
      <c r="R651" s="5"/>
      <c r="S651" s="6"/>
      <c r="T651" s="6"/>
      <c r="U651" s="6"/>
      <c r="V651" s="6"/>
      <c r="W651" s="6"/>
      <c r="X651" s="6"/>
    </row>
    <row r="652" spans="13:24" x14ac:dyDescent="0.3">
      <c r="M652" s="6"/>
      <c r="N652" s="6"/>
      <c r="O652" s="6"/>
      <c r="P652" s="6"/>
      <c r="R652" s="5"/>
      <c r="S652" s="6"/>
      <c r="T652" s="6"/>
      <c r="U652" s="6"/>
      <c r="V652" s="6"/>
      <c r="W652" s="6"/>
      <c r="X652" s="6"/>
    </row>
    <row r="653" spans="13:24" x14ac:dyDescent="0.3">
      <c r="M653" s="6"/>
      <c r="N653" s="6"/>
      <c r="O653" s="6"/>
      <c r="P653" s="6"/>
      <c r="R653" s="5"/>
      <c r="S653" s="6"/>
      <c r="T653" s="6"/>
      <c r="U653" s="6"/>
      <c r="V653" s="6"/>
      <c r="W653" s="6"/>
      <c r="X653" s="6"/>
    </row>
    <row r="654" spans="13:24" x14ac:dyDescent="0.3">
      <c r="M654" s="6"/>
      <c r="N654" s="6"/>
      <c r="O654" s="6"/>
      <c r="P654" s="6"/>
      <c r="R654" s="5"/>
      <c r="S654" s="6"/>
      <c r="T654" s="6"/>
      <c r="U654" s="6"/>
      <c r="V654" s="6"/>
      <c r="W654" s="6"/>
      <c r="X654" s="6"/>
    </row>
    <row r="655" spans="13:24" x14ac:dyDescent="0.3">
      <c r="M655" s="6"/>
      <c r="N655" s="6"/>
      <c r="O655" s="6"/>
      <c r="P655" s="6"/>
      <c r="R655" s="5"/>
      <c r="S655" s="6"/>
      <c r="T655" s="6"/>
      <c r="U655" s="6"/>
      <c r="V655" s="6"/>
      <c r="W655" s="6"/>
      <c r="X655" s="6"/>
    </row>
    <row r="656" spans="13:24" x14ac:dyDescent="0.3">
      <c r="M656" s="6"/>
      <c r="N656" s="6"/>
      <c r="O656" s="6"/>
      <c r="P656" s="6"/>
      <c r="R656" s="5"/>
      <c r="S656" s="6"/>
      <c r="T656" s="6"/>
      <c r="U656" s="6"/>
      <c r="V656" s="6"/>
      <c r="W656" s="6"/>
      <c r="X656" s="6"/>
    </row>
    <row r="657" spans="13:24" x14ac:dyDescent="0.3">
      <c r="M657" s="6"/>
      <c r="N657" s="6"/>
      <c r="O657" s="6"/>
      <c r="P657" s="6"/>
      <c r="R657" s="5"/>
      <c r="S657" s="6"/>
      <c r="T657" s="6"/>
      <c r="U657" s="6"/>
      <c r="V657" s="6"/>
      <c r="W657" s="6"/>
      <c r="X657" s="6"/>
    </row>
    <row r="658" spans="13:24" x14ac:dyDescent="0.3">
      <c r="M658" s="6"/>
      <c r="N658" s="6"/>
      <c r="O658" s="6"/>
      <c r="P658" s="6"/>
      <c r="R658" s="5"/>
      <c r="S658" s="6"/>
      <c r="T658" s="6"/>
      <c r="U658" s="6"/>
      <c r="V658" s="6"/>
      <c r="W658" s="6"/>
      <c r="X658" s="6"/>
    </row>
    <row r="659" spans="13:24" x14ac:dyDescent="0.3">
      <c r="M659" s="6"/>
      <c r="N659" s="6"/>
      <c r="O659" s="6"/>
      <c r="P659" s="6"/>
      <c r="R659" s="5"/>
      <c r="S659" s="6"/>
      <c r="T659" s="6"/>
      <c r="U659" s="6"/>
      <c r="V659" s="6"/>
      <c r="W659" s="6"/>
      <c r="X659" s="6"/>
    </row>
    <row r="660" spans="13:24" x14ac:dyDescent="0.3">
      <c r="M660" s="6"/>
      <c r="N660" s="6"/>
      <c r="O660" s="6"/>
      <c r="P660" s="6"/>
      <c r="R660" s="5"/>
      <c r="S660" s="6"/>
      <c r="T660" s="6"/>
      <c r="U660" s="6"/>
      <c r="V660" s="6"/>
      <c r="W660" s="6"/>
      <c r="X660" s="6"/>
    </row>
    <row r="661" spans="13:24" x14ac:dyDescent="0.3">
      <c r="M661" s="6"/>
      <c r="N661" s="6"/>
      <c r="O661" s="6"/>
      <c r="P661" s="6"/>
      <c r="R661" s="5"/>
      <c r="S661" s="6"/>
      <c r="T661" s="6"/>
      <c r="U661" s="6"/>
      <c r="V661" s="6"/>
      <c r="W661" s="6"/>
      <c r="X661" s="6"/>
    </row>
    <row r="662" spans="13:24" x14ac:dyDescent="0.3">
      <c r="M662" s="6"/>
      <c r="N662" s="6"/>
      <c r="O662" s="6"/>
      <c r="P662" s="6"/>
      <c r="R662" s="5"/>
      <c r="S662" s="6"/>
      <c r="T662" s="6"/>
      <c r="U662" s="6"/>
      <c r="V662" s="6"/>
      <c r="W662" s="6"/>
      <c r="X662" s="6"/>
    </row>
    <row r="663" spans="13:24" x14ac:dyDescent="0.3">
      <c r="M663" s="6"/>
      <c r="N663" s="6"/>
      <c r="O663" s="6"/>
      <c r="P663" s="6"/>
      <c r="R663" s="5"/>
      <c r="S663" s="6"/>
      <c r="T663" s="6"/>
      <c r="U663" s="6"/>
      <c r="V663" s="6"/>
      <c r="W663" s="6"/>
      <c r="X663" s="6"/>
    </row>
    <row r="664" spans="13:24" x14ac:dyDescent="0.3">
      <c r="M664" s="6"/>
      <c r="N664" s="6"/>
      <c r="O664" s="6"/>
      <c r="P664" s="6"/>
      <c r="R664" s="5"/>
      <c r="S664" s="6"/>
      <c r="T664" s="6"/>
      <c r="U664" s="6"/>
      <c r="V664" s="6"/>
      <c r="W664" s="6"/>
      <c r="X664" s="6"/>
    </row>
    <row r="665" spans="13:24" x14ac:dyDescent="0.3">
      <c r="M665" s="6"/>
      <c r="N665" s="6"/>
      <c r="O665" s="6"/>
      <c r="P665" s="6"/>
      <c r="R665" s="5"/>
      <c r="S665" s="6"/>
      <c r="T665" s="6"/>
      <c r="U665" s="6"/>
      <c r="V665" s="6"/>
      <c r="W665" s="6"/>
      <c r="X665" s="6"/>
    </row>
    <row r="666" spans="13:24" x14ac:dyDescent="0.3">
      <c r="M666" s="6"/>
      <c r="N666" s="6"/>
      <c r="O666" s="6"/>
      <c r="P666" s="6"/>
      <c r="R666" s="5"/>
      <c r="S666" s="6"/>
      <c r="T666" s="6"/>
      <c r="U666" s="6"/>
      <c r="V666" s="6"/>
      <c r="W666" s="6"/>
      <c r="X666" s="6"/>
    </row>
    <row r="667" spans="13:24" x14ac:dyDescent="0.3">
      <c r="M667" s="6"/>
      <c r="N667" s="6"/>
      <c r="O667" s="6"/>
      <c r="P667" s="6"/>
      <c r="R667" s="5"/>
      <c r="S667" s="6"/>
      <c r="T667" s="6"/>
      <c r="U667" s="6"/>
      <c r="V667" s="6"/>
      <c r="W667" s="6"/>
      <c r="X667" s="6"/>
    </row>
    <row r="668" spans="13:24" x14ac:dyDescent="0.3">
      <c r="M668" s="6"/>
      <c r="N668" s="6"/>
      <c r="O668" s="6"/>
      <c r="P668" s="6"/>
      <c r="R668" s="5"/>
      <c r="S668" s="6"/>
      <c r="T668" s="6"/>
      <c r="U668" s="6"/>
      <c r="V668" s="6"/>
      <c r="W668" s="6"/>
      <c r="X668" s="6"/>
    </row>
    <row r="669" spans="13:24" x14ac:dyDescent="0.3">
      <c r="M669" s="6"/>
      <c r="N669" s="6"/>
      <c r="O669" s="6"/>
      <c r="P669" s="6"/>
      <c r="R669" s="5"/>
      <c r="S669" s="6"/>
      <c r="T669" s="6"/>
      <c r="U669" s="6"/>
      <c r="V669" s="6"/>
      <c r="W669" s="6"/>
      <c r="X669" s="6"/>
    </row>
    <row r="670" spans="13:24" x14ac:dyDescent="0.3">
      <c r="M670" s="6"/>
      <c r="N670" s="6"/>
      <c r="O670" s="6"/>
      <c r="P670" s="6"/>
      <c r="R670" s="5"/>
      <c r="S670" s="6"/>
      <c r="T670" s="6"/>
      <c r="U670" s="6"/>
      <c r="V670" s="6"/>
      <c r="W670" s="6"/>
      <c r="X670" s="6"/>
    </row>
    <row r="671" spans="13:24" x14ac:dyDescent="0.3">
      <c r="M671" s="6"/>
      <c r="N671" s="6"/>
      <c r="O671" s="6"/>
      <c r="P671" s="6"/>
      <c r="R671" s="5"/>
      <c r="S671" s="6"/>
      <c r="T671" s="6"/>
      <c r="U671" s="6"/>
      <c r="V671" s="6"/>
      <c r="W671" s="6"/>
      <c r="X671" s="6"/>
    </row>
    <row r="672" spans="13:24" x14ac:dyDescent="0.3">
      <c r="M672" s="6"/>
      <c r="N672" s="6"/>
      <c r="O672" s="6"/>
      <c r="P672" s="6"/>
      <c r="R672" s="5"/>
      <c r="S672" s="6"/>
      <c r="T672" s="6"/>
      <c r="U672" s="6"/>
      <c r="V672" s="6"/>
      <c r="W672" s="6"/>
      <c r="X672" s="6"/>
    </row>
    <row r="673" spans="13:24" x14ac:dyDescent="0.3">
      <c r="M673" s="6"/>
      <c r="N673" s="6"/>
      <c r="O673" s="6"/>
      <c r="P673" s="6"/>
      <c r="R673" s="5"/>
      <c r="S673" s="6"/>
      <c r="T673" s="6"/>
      <c r="U673" s="6"/>
      <c r="V673" s="6"/>
      <c r="W673" s="6"/>
      <c r="X673" s="6"/>
    </row>
    <row r="674" spans="13:24" x14ac:dyDescent="0.3">
      <c r="M674" s="6"/>
      <c r="N674" s="6"/>
      <c r="O674" s="6"/>
      <c r="P674" s="6"/>
      <c r="R674" s="5"/>
      <c r="S674" s="6"/>
      <c r="T674" s="6"/>
      <c r="U674" s="6"/>
      <c r="V674" s="6"/>
      <c r="W674" s="6"/>
      <c r="X674" s="6"/>
    </row>
    <row r="675" spans="13:24" x14ac:dyDescent="0.3">
      <c r="M675" s="6"/>
      <c r="N675" s="6"/>
      <c r="O675" s="6"/>
      <c r="P675" s="6"/>
      <c r="R675" s="5"/>
      <c r="S675" s="6"/>
      <c r="T675" s="6"/>
      <c r="U675" s="6"/>
      <c r="V675" s="6"/>
      <c r="W675" s="6"/>
      <c r="X675" s="6"/>
    </row>
    <row r="676" spans="13:24" x14ac:dyDescent="0.3">
      <c r="M676" s="6"/>
      <c r="N676" s="6"/>
      <c r="O676" s="6"/>
      <c r="P676" s="6"/>
      <c r="R676" s="5"/>
      <c r="S676" s="6"/>
      <c r="T676" s="6"/>
      <c r="U676" s="6"/>
      <c r="V676" s="6"/>
      <c r="W676" s="6"/>
      <c r="X676" s="6"/>
    </row>
    <row r="677" spans="13:24" x14ac:dyDescent="0.3">
      <c r="M677" s="6"/>
      <c r="N677" s="6"/>
      <c r="O677" s="6"/>
      <c r="P677" s="6"/>
      <c r="R677" s="5"/>
      <c r="S677" s="6"/>
      <c r="T677" s="6"/>
      <c r="U677" s="6"/>
      <c r="V677" s="6"/>
      <c r="W677" s="6"/>
      <c r="X677" s="6"/>
    </row>
    <row r="678" spans="13:24" x14ac:dyDescent="0.3">
      <c r="M678" s="6"/>
      <c r="N678" s="6"/>
      <c r="O678" s="6"/>
      <c r="P678" s="6"/>
      <c r="R678" s="5"/>
      <c r="S678" s="6"/>
      <c r="T678" s="6"/>
      <c r="U678" s="6"/>
      <c r="V678" s="6"/>
      <c r="W678" s="6"/>
      <c r="X678" s="6"/>
    </row>
    <row r="679" spans="13:24" x14ac:dyDescent="0.3">
      <c r="M679" s="6"/>
      <c r="N679" s="6"/>
      <c r="O679" s="6"/>
      <c r="P679" s="6"/>
      <c r="R679" s="5"/>
      <c r="S679" s="6"/>
      <c r="T679" s="6"/>
      <c r="U679" s="6"/>
      <c r="V679" s="6"/>
      <c r="W679" s="6"/>
      <c r="X679" s="6"/>
    </row>
    <row r="680" spans="13:24" x14ac:dyDescent="0.3">
      <c r="M680" s="6"/>
      <c r="N680" s="6"/>
      <c r="O680" s="6"/>
      <c r="P680" s="6"/>
      <c r="R680" s="5"/>
      <c r="S680" s="6"/>
      <c r="T680" s="6"/>
      <c r="U680" s="6"/>
      <c r="V680" s="6"/>
      <c r="W680" s="6"/>
      <c r="X680" s="6"/>
    </row>
    <row r="681" spans="13:24" x14ac:dyDescent="0.3">
      <c r="M681" s="6"/>
      <c r="N681" s="6"/>
      <c r="O681" s="6"/>
      <c r="P681" s="6"/>
      <c r="R681" s="5"/>
      <c r="S681" s="6"/>
      <c r="T681" s="6"/>
      <c r="U681" s="6"/>
      <c r="V681" s="6"/>
      <c r="W681" s="6"/>
      <c r="X681" s="6"/>
    </row>
    <row r="682" spans="13:24" x14ac:dyDescent="0.3">
      <c r="M682" s="6"/>
      <c r="N682" s="6"/>
      <c r="O682" s="6"/>
      <c r="P682" s="6"/>
      <c r="R682" s="5"/>
      <c r="S682" s="6"/>
      <c r="T682" s="6"/>
      <c r="U682" s="6"/>
      <c r="V682" s="6"/>
      <c r="W682" s="6"/>
      <c r="X682" s="6"/>
    </row>
    <row r="683" spans="13:24" x14ac:dyDescent="0.3">
      <c r="M683" s="6"/>
      <c r="N683" s="6"/>
      <c r="O683" s="6"/>
      <c r="P683" s="6"/>
      <c r="R683" s="5"/>
      <c r="S683" s="6"/>
      <c r="T683" s="6"/>
      <c r="U683" s="6"/>
      <c r="V683" s="6"/>
      <c r="W683" s="6"/>
      <c r="X683" s="6"/>
    </row>
    <row r="684" spans="13:24" x14ac:dyDescent="0.3">
      <c r="M684" s="6"/>
      <c r="N684" s="6"/>
      <c r="O684" s="6"/>
      <c r="P684" s="6"/>
      <c r="R684" s="5"/>
      <c r="S684" s="6"/>
      <c r="T684" s="6"/>
      <c r="U684" s="6"/>
      <c r="V684" s="6"/>
      <c r="W684" s="6"/>
      <c r="X684" s="6"/>
    </row>
    <row r="685" spans="13:24" x14ac:dyDescent="0.3">
      <c r="M685" s="6"/>
      <c r="N685" s="6"/>
      <c r="O685" s="6"/>
      <c r="P685" s="6"/>
      <c r="R685" s="5"/>
      <c r="S685" s="6"/>
      <c r="T685" s="6"/>
      <c r="U685" s="6"/>
      <c r="V685" s="6"/>
      <c r="W685" s="6"/>
      <c r="X685" s="6"/>
    </row>
    <row r="686" spans="13:24" x14ac:dyDescent="0.3">
      <c r="M686" s="6"/>
      <c r="N686" s="6"/>
      <c r="O686" s="6"/>
      <c r="P686" s="6"/>
      <c r="R686" s="5"/>
      <c r="S686" s="6"/>
      <c r="T686" s="6"/>
      <c r="U686" s="6"/>
      <c r="V686" s="6"/>
      <c r="W686" s="6"/>
      <c r="X686" s="6"/>
    </row>
    <row r="687" spans="13:24" x14ac:dyDescent="0.3">
      <c r="M687" s="6"/>
      <c r="N687" s="6"/>
      <c r="O687" s="6"/>
      <c r="P687" s="6"/>
      <c r="R687" s="5"/>
      <c r="S687" s="6"/>
      <c r="T687" s="6"/>
      <c r="U687" s="6"/>
      <c r="V687" s="6"/>
      <c r="W687" s="6"/>
      <c r="X687" s="6"/>
    </row>
    <row r="688" spans="13:24" x14ac:dyDescent="0.3">
      <c r="M688" s="6"/>
      <c r="N688" s="6"/>
      <c r="O688" s="6"/>
      <c r="P688" s="6"/>
      <c r="R688" s="5"/>
      <c r="S688" s="6"/>
      <c r="T688" s="6"/>
      <c r="U688" s="6"/>
      <c r="V688" s="6"/>
      <c r="W688" s="6"/>
      <c r="X688" s="6"/>
    </row>
    <row r="689" spans="13:24" x14ac:dyDescent="0.3">
      <c r="M689" s="6"/>
      <c r="N689" s="6"/>
      <c r="O689" s="6"/>
      <c r="P689" s="6"/>
      <c r="R689" s="5"/>
      <c r="S689" s="6"/>
      <c r="T689" s="6"/>
      <c r="U689" s="6"/>
      <c r="V689" s="6"/>
      <c r="W689" s="6"/>
      <c r="X689" s="6"/>
    </row>
    <row r="690" spans="13:24" x14ac:dyDescent="0.3">
      <c r="M690" s="6"/>
      <c r="N690" s="6"/>
      <c r="O690" s="6"/>
      <c r="P690" s="6"/>
      <c r="R690" s="5"/>
      <c r="S690" s="6"/>
      <c r="T690" s="6"/>
      <c r="U690" s="6"/>
      <c r="V690" s="6"/>
      <c r="W690" s="6"/>
      <c r="X690" s="6"/>
    </row>
    <row r="691" spans="13:24" x14ac:dyDescent="0.3">
      <c r="M691" s="6"/>
      <c r="N691" s="6"/>
      <c r="O691" s="6"/>
      <c r="P691" s="6"/>
      <c r="R691" s="5"/>
      <c r="S691" s="6"/>
      <c r="T691" s="6"/>
      <c r="U691" s="6"/>
      <c r="V691" s="6"/>
      <c r="W691" s="6"/>
      <c r="X691" s="6"/>
    </row>
    <row r="692" spans="13:24" x14ac:dyDescent="0.3">
      <c r="M692" s="6"/>
      <c r="N692" s="6"/>
      <c r="O692" s="6"/>
      <c r="P692" s="6"/>
      <c r="R692" s="5"/>
      <c r="S692" s="6"/>
      <c r="T692" s="6"/>
      <c r="U692" s="6"/>
      <c r="V692" s="6"/>
      <c r="W692" s="6"/>
      <c r="X692" s="6"/>
    </row>
    <row r="693" spans="13:24" x14ac:dyDescent="0.3">
      <c r="M693" s="6"/>
      <c r="N693" s="6"/>
      <c r="O693" s="6"/>
      <c r="P693" s="6"/>
      <c r="R693" s="5"/>
      <c r="S693" s="6"/>
      <c r="T693" s="6"/>
      <c r="U693" s="6"/>
      <c r="V693" s="6"/>
      <c r="W693" s="6"/>
      <c r="X693" s="6"/>
    </row>
    <row r="694" spans="13:24" x14ac:dyDescent="0.3">
      <c r="M694" s="6"/>
      <c r="N694" s="6"/>
      <c r="O694" s="6"/>
      <c r="P694" s="6"/>
      <c r="R694" s="5"/>
      <c r="S694" s="6"/>
      <c r="T694" s="6"/>
      <c r="U694" s="6"/>
      <c r="V694" s="6"/>
      <c r="W694" s="6"/>
      <c r="X694" s="6"/>
    </row>
    <row r="695" spans="13:24" x14ac:dyDescent="0.3">
      <c r="M695" s="6"/>
      <c r="N695" s="6"/>
      <c r="O695" s="6"/>
      <c r="P695" s="6"/>
      <c r="R695" s="5"/>
      <c r="S695" s="6"/>
      <c r="T695" s="6"/>
      <c r="U695" s="6"/>
      <c r="V695" s="6"/>
      <c r="W695" s="6"/>
      <c r="X695" s="6"/>
    </row>
    <row r="696" spans="13:24" x14ac:dyDescent="0.3">
      <c r="M696" s="6"/>
      <c r="N696" s="6"/>
      <c r="O696" s="6"/>
      <c r="P696" s="6"/>
      <c r="R696" s="5"/>
      <c r="S696" s="6"/>
      <c r="T696" s="6"/>
      <c r="U696" s="6"/>
      <c r="V696" s="6"/>
      <c r="W696" s="6"/>
      <c r="X696" s="6"/>
    </row>
    <row r="697" spans="13:24" x14ac:dyDescent="0.3">
      <c r="M697" s="6"/>
      <c r="N697" s="6"/>
      <c r="O697" s="6"/>
      <c r="P697" s="6"/>
      <c r="R697" s="5"/>
      <c r="S697" s="6"/>
      <c r="T697" s="6"/>
      <c r="U697" s="6"/>
      <c r="V697" s="6"/>
      <c r="W697" s="6"/>
      <c r="X697" s="6"/>
    </row>
    <row r="698" spans="13:24" x14ac:dyDescent="0.3">
      <c r="M698" s="6"/>
      <c r="N698" s="6"/>
      <c r="O698" s="6"/>
      <c r="P698" s="6"/>
      <c r="R698" s="5"/>
      <c r="S698" s="6"/>
      <c r="T698" s="6"/>
      <c r="U698" s="6"/>
      <c r="V698" s="6"/>
      <c r="W698" s="6"/>
      <c r="X698" s="6"/>
    </row>
    <row r="699" spans="13:24" x14ac:dyDescent="0.3">
      <c r="M699" s="6"/>
      <c r="N699" s="6"/>
      <c r="O699" s="6"/>
      <c r="P699" s="6"/>
      <c r="R699" s="5"/>
      <c r="S699" s="6"/>
      <c r="T699" s="6"/>
      <c r="U699" s="6"/>
      <c r="V699" s="6"/>
      <c r="W699" s="6"/>
      <c r="X699" s="6"/>
    </row>
    <row r="700" spans="13:24" x14ac:dyDescent="0.3">
      <c r="M700" s="6"/>
      <c r="N700" s="6"/>
      <c r="O700" s="6"/>
      <c r="P700" s="6"/>
      <c r="R700" s="5"/>
      <c r="S700" s="6"/>
      <c r="T700" s="6"/>
      <c r="U700" s="6"/>
      <c r="V700" s="6"/>
      <c r="W700" s="6"/>
      <c r="X700" s="6"/>
    </row>
    <row r="701" spans="13:24" x14ac:dyDescent="0.3">
      <c r="M701" s="6"/>
      <c r="N701" s="6"/>
      <c r="O701" s="6"/>
      <c r="P701" s="6"/>
      <c r="R701" s="5"/>
      <c r="S701" s="6"/>
      <c r="T701" s="6"/>
      <c r="U701" s="6"/>
      <c r="V701" s="6"/>
      <c r="W701" s="6"/>
      <c r="X701" s="6"/>
    </row>
    <row r="702" spans="13:24" x14ac:dyDescent="0.3">
      <c r="M702" s="6"/>
      <c r="N702" s="6"/>
      <c r="O702" s="6"/>
      <c r="P702" s="6"/>
      <c r="R702" s="5"/>
      <c r="S702" s="6"/>
      <c r="T702" s="6"/>
      <c r="U702" s="6"/>
      <c r="V702" s="6"/>
      <c r="W702" s="6"/>
      <c r="X702" s="6"/>
    </row>
    <row r="703" spans="13:24" x14ac:dyDescent="0.3">
      <c r="M703" s="6"/>
      <c r="N703" s="6"/>
      <c r="O703" s="6"/>
      <c r="P703" s="6"/>
      <c r="R703" s="5"/>
      <c r="S703" s="6"/>
      <c r="T703" s="6"/>
      <c r="U703" s="6"/>
      <c r="V703" s="6"/>
      <c r="W703" s="6"/>
      <c r="X703" s="6"/>
    </row>
    <row r="704" spans="13:24" x14ac:dyDescent="0.3">
      <c r="M704" s="6"/>
      <c r="N704" s="6"/>
      <c r="O704" s="6"/>
      <c r="P704" s="6"/>
      <c r="R704" s="5"/>
      <c r="S704" s="6"/>
      <c r="T704" s="6"/>
      <c r="U704" s="6"/>
      <c r="V704" s="6"/>
      <c r="W704" s="6"/>
      <c r="X704" s="6"/>
    </row>
    <row r="705" spans="13:24" x14ac:dyDescent="0.3">
      <c r="M705" s="6"/>
      <c r="N705" s="6"/>
      <c r="O705" s="6"/>
      <c r="P705" s="6"/>
      <c r="R705" s="5"/>
      <c r="S705" s="6"/>
      <c r="T705" s="6"/>
      <c r="U705" s="6"/>
      <c r="V705" s="6"/>
      <c r="W705" s="6"/>
      <c r="X705" s="6"/>
    </row>
    <row r="706" spans="13:24" x14ac:dyDescent="0.3">
      <c r="M706" s="6"/>
      <c r="N706" s="6"/>
      <c r="O706" s="6"/>
      <c r="P706" s="6"/>
      <c r="R706" s="5"/>
      <c r="S706" s="6"/>
      <c r="T706" s="6"/>
      <c r="U706" s="6"/>
      <c r="V706" s="6"/>
      <c r="W706" s="6"/>
      <c r="X706" s="6"/>
    </row>
    <row r="707" spans="13:24" x14ac:dyDescent="0.3">
      <c r="M707" s="6"/>
      <c r="N707" s="6"/>
      <c r="O707" s="6"/>
      <c r="P707" s="6"/>
      <c r="R707" s="5"/>
      <c r="S707" s="6"/>
      <c r="T707" s="6"/>
      <c r="U707" s="6"/>
      <c r="V707" s="6"/>
      <c r="W707" s="6"/>
      <c r="X707" s="6"/>
    </row>
    <row r="708" spans="13:24" x14ac:dyDescent="0.3">
      <c r="M708" s="6"/>
      <c r="N708" s="6"/>
      <c r="O708" s="6"/>
      <c r="P708" s="6"/>
      <c r="R708" s="5"/>
      <c r="S708" s="6"/>
      <c r="T708" s="6"/>
      <c r="U708" s="6"/>
      <c r="V708" s="6"/>
      <c r="W708" s="6"/>
      <c r="X708" s="6"/>
    </row>
    <row r="709" spans="13:24" x14ac:dyDescent="0.3">
      <c r="M709" s="6"/>
      <c r="N709" s="6"/>
      <c r="O709" s="6"/>
      <c r="P709" s="6"/>
      <c r="R709" s="5"/>
      <c r="S709" s="6"/>
      <c r="T709" s="6"/>
      <c r="U709" s="6"/>
      <c r="V709" s="6"/>
      <c r="W709" s="6"/>
      <c r="X709" s="6"/>
    </row>
    <row r="710" spans="13:24" x14ac:dyDescent="0.3">
      <c r="M710" s="6"/>
      <c r="N710" s="6"/>
      <c r="O710" s="6"/>
      <c r="P710" s="6"/>
      <c r="R710" s="5"/>
      <c r="S710" s="6"/>
      <c r="T710" s="6"/>
      <c r="U710" s="6"/>
      <c r="V710" s="6"/>
      <c r="W710" s="6"/>
      <c r="X710" s="6"/>
    </row>
    <row r="711" spans="13:24" x14ac:dyDescent="0.3">
      <c r="M711" s="6"/>
      <c r="N711" s="6"/>
      <c r="O711" s="6"/>
      <c r="P711" s="6"/>
      <c r="R711" s="5"/>
      <c r="S711" s="6"/>
      <c r="T711" s="6"/>
      <c r="U711" s="6"/>
      <c r="V711" s="6"/>
      <c r="W711" s="6"/>
      <c r="X711" s="6"/>
    </row>
    <row r="712" spans="13:24" x14ac:dyDescent="0.3">
      <c r="M712" s="6"/>
      <c r="N712" s="6"/>
      <c r="O712" s="6"/>
      <c r="P712" s="6"/>
      <c r="R712" s="5"/>
      <c r="S712" s="6"/>
      <c r="T712" s="6"/>
      <c r="U712" s="6"/>
      <c r="V712" s="6"/>
      <c r="W712" s="6"/>
      <c r="X712" s="6"/>
    </row>
    <row r="713" spans="13:24" x14ac:dyDescent="0.3">
      <c r="M713" s="6"/>
      <c r="N713" s="6"/>
      <c r="O713" s="6"/>
      <c r="P713" s="6"/>
      <c r="R713" s="5"/>
      <c r="S713" s="6"/>
      <c r="T713" s="6"/>
      <c r="U713" s="6"/>
      <c r="V713" s="6"/>
      <c r="W713" s="6"/>
      <c r="X713" s="6"/>
    </row>
    <row r="714" spans="13:24" x14ac:dyDescent="0.3">
      <c r="M714" s="6"/>
      <c r="N714" s="6"/>
      <c r="O714" s="6"/>
      <c r="P714" s="6"/>
      <c r="R714" s="5"/>
      <c r="S714" s="6"/>
      <c r="T714" s="6"/>
      <c r="U714" s="6"/>
      <c r="V714" s="6"/>
      <c r="W714" s="6"/>
      <c r="X714" s="6"/>
    </row>
    <row r="715" spans="13:24" x14ac:dyDescent="0.3">
      <c r="M715" s="6"/>
      <c r="N715" s="6"/>
      <c r="O715" s="6"/>
      <c r="P715" s="6"/>
      <c r="R715" s="5"/>
      <c r="S715" s="6"/>
      <c r="T715" s="6"/>
      <c r="U715" s="6"/>
      <c r="V715" s="6"/>
      <c r="W715" s="6"/>
      <c r="X715" s="6"/>
    </row>
    <row r="716" spans="13:24" x14ac:dyDescent="0.3">
      <c r="M716" s="6"/>
      <c r="N716" s="6"/>
      <c r="O716" s="6"/>
      <c r="P716" s="6"/>
      <c r="R716" s="5"/>
      <c r="S716" s="6"/>
      <c r="T716" s="6"/>
      <c r="U716" s="6"/>
      <c r="V716" s="6"/>
      <c r="W716" s="6"/>
      <c r="X716" s="6"/>
    </row>
    <row r="717" spans="13:24" x14ac:dyDescent="0.3">
      <c r="M717" s="6"/>
      <c r="N717" s="6"/>
      <c r="O717" s="6"/>
      <c r="P717" s="6"/>
      <c r="R717" s="5"/>
      <c r="S717" s="6"/>
      <c r="T717" s="6"/>
      <c r="U717" s="6"/>
      <c r="V717" s="6"/>
      <c r="W717" s="6"/>
      <c r="X717" s="6"/>
    </row>
    <row r="718" spans="13:24" x14ac:dyDescent="0.3">
      <c r="M718" s="6"/>
      <c r="N718" s="6"/>
      <c r="O718" s="6"/>
      <c r="P718" s="6"/>
      <c r="R718" s="5"/>
      <c r="S718" s="6"/>
      <c r="T718" s="6"/>
      <c r="U718" s="6"/>
      <c r="V718" s="6"/>
      <c r="W718" s="6"/>
      <c r="X718" s="6"/>
    </row>
    <row r="719" spans="13:24" x14ac:dyDescent="0.3">
      <c r="M719" s="6"/>
      <c r="N719" s="6"/>
      <c r="O719" s="6"/>
      <c r="P719" s="6"/>
      <c r="R719" s="5"/>
      <c r="S719" s="6"/>
      <c r="T719" s="6"/>
      <c r="U719" s="6"/>
      <c r="V719" s="6"/>
      <c r="W719" s="6"/>
      <c r="X719" s="6"/>
    </row>
    <row r="720" spans="13:24" x14ac:dyDescent="0.3">
      <c r="M720" s="6"/>
      <c r="N720" s="6"/>
      <c r="O720" s="6"/>
      <c r="P720" s="6"/>
      <c r="R720" s="5"/>
      <c r="S720" s="6"/>
      <c r="T720" s="6"/>
      <c r="U720" s="6"/>
      <c r="V720" s="6"/>
      <c r="W720" s="6"/>
      <c r="X720" s="6"/>
    </row>
    <row r="721" spans="13:24" x14ac:dyDescent="0.3">
      <c r="M721" s="6"/>
      <c r="N721" s="6"/>
      <c r="O721" s="6"/>
      <c r="P721" s="6"/>
      <c r="R721" s="5"/>
      <c r="S721" s="6"/>
      <c r="T721" s="6"/>
      <c r="U721" s="6"/>
      <c r="V721" s="6"/>
      <c r="W721" s="6"/>
      <c r="X721" s="6"/>
    </row>
    <row r="722" spans="13:24" x14ac:dyDescent="0.3">
      <c r="M722" s="6"/>
      <c r="N722" s="6"/>
      <c r="O722" s="6"/>
      <c r="P722" s="6"/>
      <c r="R722" s="5"/>
      <c r="S722" s="6"/>
      <c r="T722" s="6"/>
      <c r="U722" s="6"/>
      <c r="V722" s="6"/>
      <c r="W722" s="6"/>
      <c r="X722" s="6"/>
    </row>
    <row r="723" spans="13:24" x14ac:dyDescent="0.3">
      <c r="M723" s="6"/>
      <c r="N723" s="6"/>
      <c r="O723" s="6"/>
      <c r="P723" s="6"/>
      <c r="R723" s="5"/>
      <c r="S723" s="6"/>
      <c r="T723" s="6"/>
      <c r="U723" s="6"/>
      <c r="V723" s="6"/>
      <c r="W723" s="6"/>
      <c r="X723" s="6"/>
    </row>
    <row r="724" spans="13:24" x14ac:dyDescent="0.3">
      <c r="M724" s="6"/>
      <c r="N724" s="6"/>
      <c r="O724" s="6"/>
      <c r="P724" s="6"/>
      <c r="R724" s="5"/>
      <c r="S724" s="6"/>
      <c r="T724" s="6"/>
      <c r="U724" s="6"/>
      <c r="V724" s="6"/>
      <c r="W724" s="6"/>
      <c r="X724" s="6"/>
    </row>
    <row r="725" spans="13:24" x14ac:dyDescent="0.3">
      <c r="M725" s="6"/>
      <c r="N725" s="6"/>
      <c r="O725" s="6"/>
      <c r="P725" s="6"/>
      <c r="R725" s="5"/>
      <c r="S725" s="6"/>
      <c r="T725" s="6"/>
      <c r="U725" s="6"/>
      <c r="V725" s="6"/>
      <c r="W725" s="6"/>
      <c r="X725" s="6"/>
    </row>
    <row r="726" spans="13:24" x14ac:dyDescent="0.3">
      <c r="M726" s="6"/>
      <c r="N726" s="6"/>
      <c r="O726" s="6"/>
      <c r="P726" s="6"/>
      <c r="R726" s="5"/>
      <c r="S726" s="6"/>
      <c r="T726" s="6"/>
      <c r="U726" s="6"/>
      <c r="V726" s="6"/>
      <c r="W726" s="6"/>
      <c r="X726" s="6"/>
    </row>
    <row r="727" spans="13:24" x14ac:dyDescent="0.3">
      <c r="M727" s="6"/>
      <c r="N727" s="6"/>
      <c r="O727" s="6"/>
      <c r="P727" s="6"/>
      <c r="R727" s="5"/>
      <c r="S727" s="6"/>
      <c r="T727" s="6"/>
      <c r="U727" s="6"/>
      <c r="V727" s="6"/>
      <c r="W727" s="6"/>
      <c r="X727" s="6"/>
    </row>
    <row r="728" spans="13:24" x14ac:dyDescent="0.3">
      <c r="M728" s="6"/>
      <c r="N728" s="6"/>
      <c r="O728" s="6"/>
      <c r="P728" s="6"/>
      <c r="R728" s="5"/>
      <c r="S728" s="6"/>
      <c r="T728" s="6"/>
      <c r="U728" s="6"/>
      <c r="V728" s="6"/>
      <c r="W728" s="6"/>
      <c r="X728" s="6"/>
    </row>
    <row r="729" spans="13:24" x14ac:dyDescent="0.3">
      <c r="M729" s="6"/>
      <c r="N729" s="6"/>
      <c r="O729" s="6"/>
      <c r="P729" s="6"/>
      <c r="R729" s="5"/>
      <c r="S729" s="6"/>
      <c r="T729" s="6"/>
      <c r="U729" s="6"/>
      <c r="V729" s="6"/>
      <c r="W729" s="6"/>
      <c r="X729" s="6"/>
    </row>
    <row r="730" spans="13:24" x14ac:dyDescent="0.3">
      <c r="M730" s="6"/>
      <c r="N730" s="6"/>
      <c r="O730" s="6"/>
      <c r="P730" s="6"/>
      <c r="R730" s="5"/>
      <c r="S730" s="6"/>
      <c r="T730" s="6"/>
      <c r="U730" s="6"/>
      <c r="V730" s="6"/>
      <c r="W730" s="6"/>
      <c r="X730" s="6"/>
    </row>
    <row r="731" spans="13:24" x14ac:dyDescent="0.3">
      <c r="M731" s="6"/>
      <c r="N731" s="6"/>
      <c r="O731" s="6"/>
      <c r="P731" s="6"/>
      <c r="R731" s="5"/>
      <c r="S731" s="6"/>
      <c r="T731" s="6"/>
      <c r="U731" s="6"/>
      <c r="V731" s="6"/>
      <c r="W731" s="6"/>
      <c r="X731" s="6"/>
    </row>
    <row r="732" spans="13:24" x14ac:dyDescent="0.3">
      <c r="M732" s="6"/>
      <c r="N732" s="6"/>
      <c r="O732" s="6"/>
      <c r="P732" s="6"/>
      <c r="R732" s="5"/>
      <c r="S732" s="6"/>
      <c r="T732" s="6"/>
      <c r="U732" s="6"/>
      <c r="V732" s="6"/>
      <c r="W732" s="6"/>
      <c r="X732" s="6"/>
    </row>
    <row r="733" spans="13:24" x14ac:dyDescent="0.3">
      <c r="M733" s="6"/>
      <c r="N733" s="6"/>
      <c r="O733" s="6"/>
      <c r="P733" s="6"/>
      <c r="R733" s="5"/>
      <c r="S733" s="6"/>
      <c r="T733" s="6"/>
      <c r="U733" s="6"/>
      <c r="V733" s="6"/>
      <c r="W733" s="6"/>
      <c r="X733" s="6"/>
    </row>
    <row r="734" spans="13:24" x14ac:dyDescent="0.3">
      <c r="M734" s="6"/>
      <c r="N734" s="6"/>
      <c r="O734" s="6"/>
      <c r="P734" s="6"/>
      <c r="R734" s="5"/>
      <c r="S734" s="6"/>
      <c r="T734" s="6"/>
      <c r="U734" s="6"/>
      <c r="V734" s="6"/>
      <c r="W734" s="6"/>
      <c r="X734" s="6"/>
    </row>
    <row r="735" spans="13:24" x14ac:dyDescent="0.3">
      <c r="M735" s="6"/>
      <c r="N735" s="6"/>
      <c r="O735" s="6"/>
      <c r="P735" s="6"/>
      <c r="R735" s="5"/>
      <c r="S735" s="6"/>
      <c r="T735" s="6"/>
      <c r="U735" s="6"/>
      <c r="V735" s="6"/>
      <c r="W735" s="6"/>
      <c r="X735" s="6"/>
    </row>
    <row r="736" spans="13:24" x14ac:dyDescent="0.3">
      <c r="M736" s="6"/>
      <c r="N736" s="6"/>
      <c r="O736" s="6"/>
      <c r="P736" s="6"/>
      <c r="R736" s="5"/>
      <c r="S736" s="6"/>
      <c r="T736" s="6"/>
      <c r="U736" s="6"/>
      <c r="V736" s="6"/>
      <c r="W736" s="6"/>
      <c r="X736" s="6"/>
    </row>
    <row r="737" spans="13:24" x14ac:dyDescent="0.3">
      <c r="M737" s="6"/>
      <c r="N737" s="6"/>
      <c r="O737" s="6"/>
      <c r="P737" s="6"/>
      <c r="R737" s="5"/>
      <c r="S737" s="6"/>
      <c r="T737" s="6"/>
      <c r="U737" s="6"/>
      <c r="V737" s="6"/>
      <c r="W737" s="6"/>
      <c r="X737" s="6"/>
    </row>
    <row r="738" spans="13:24" x14ac:dyDescent="0.3">
      <c r="M738" s="6"/>
      <c r="N738" s="6"/>
      <c r="O738" s="6"/>
      <c r="P738" s="6"/>
      <c r="R738" s="5"/>
      <c r="S738" s="6"/>
      <c r="T738" s="6"/>
      <c r="U738" s="6"/>
      <c r="V738" s="6"/>
      <c r="W738" s="6"/>
      <c r="X738" s="6"/>
    </row>
    <row r="739" spans="13:24" x14ac:dyDescent="0.3">
      <c r="M739" s="6"/>
      <c r="N739" s="6"/>
      <c r="O739" s="6"/>
      <c r="P739" s="6"/>
      <c r="R739" s="5"/>
      <c r="S739" s="6"/>
      <c r="T739" s="6"/>
      <c r="U739" s="6"/>
      <c r="V739" s="6"/>
      <c r="W739" s="6"/>
      <c r="X739" s="6"/>
    </row>
    <row r="740" spans="13:24" x14ac:dyDescent="0.3">
      <c r="M740" s="6"/>
      <c r="N740" s="6"/>
      <c r="O740" s="6"/>
      <c r="P740" s="6"/>
      <c r="R740" s="5"/>
      <c r="S740" s="6"/>
      <c r="T740" s="6"/>
      <c r="U740" s="6"/>
      <c r="V740" s="6"/>
      <c r="W740" s="6"/>
      <c r="X740" s="6"/>
    </row>
    <row r="741" spans="13:24" x14ac:dyDescent="0.3">
      <c r="M741" s="6"/>
      <c r="N741" s="6"/>
      <c r="O741" s="6"/>
      <c r="P741" s="6"/>
      <c r="R741" s="5"/>
      <c r="S741" s="6"/>
      <c r="T741" s="6"/>
      <c r="U741" s="6"/>
      <c r="V741" s="6"/>
      <c r="W741" s="6"/>
      <c r="X741" s="6"/>
    </row>
    <row r="742" spans="13:24" x14ac:dyDescent="0.3">
      <c r="M742" s="6"/>
      <c r="N742" s="6"/>
      <c r="O742" s="6"/>
      <c r="P742" s="6"/>
      <c r="R742" s="5"/>
      <c r="S742" s="6"/>
      <c r="T742" s="6"/>
      <c r="U742" s="6"/>
      <c r="V742" s="6"/>
      <c r="W742" s="6"/>
      <c r="X742" s="6"/>
    </row>
    <row r="743" spans="13:24" x14ac:dyDescent="0.3">
      <c r="M743" s="6"/>
      <c r="N743" s="6"/>
      <c r="O743" s="6"/>
      <c r="P743" s="6"/>
      <c r="R743" s="5"/>
      <c r="S743" s="6"/>
      <c r="T743" s="6"/>
      <c r="U743" s="6"/>
      <c r="V743" s="6"/>
      <c r="W743" s="6"/>
      <c r="X743" s="6"/>
    </row>
    <row r="744" spans="13:24" x14ac:dyDescent="0.3">
      <c r="M744" s="6"/>
      <c r="N744" s="6"/>
      <c r="O744" s="6"/>
      <c r="P744" s="6"/>
      <c r="R744" s="5"/>
      <c r="S744" s="6"/>
      <c r="T744" s="6"/>
      <c r="U744" s="6"/>
      <c r="V744" s="6"/>
      <c r="W744" s="6"/>
      <c r="X744" s="6"/>
    </row>
    <row r="745" spans="13:24" x14ac:dyDescent="0.3">
      <c r="M745" s="6"/>
      <c r="N745" s="6"/>
      <c r="O745" s="6"/>
      <c r="P745" s="6"/>
      <c r="R745" s="5"/>
      <c r="S745" s="6"/>
      <c r="T745" s="6"/>
      <c r="U745" s="6"/>
      <c r="V745" s="6"/>
      <c r="W745" s="6"/>
      <c r="X745" s="6"/>
    </row>
    <row r="746" spans="13:24" x14ac:dyDescent="0.3">
      <c r="M746" s="6"/>
      <c r="N746" s="6"/>
      <c r="O746" s="6"/>
      <c r="P746" s="6"/>
      <c r="R746" s="5"/>
      <c r="S746" s="6"/>
      <c r="T746" s="6"/>
      <c r="U746" s="6"/>
      <c r="V746" s="6"/>
      <c r="W746" s="6"/>
      <c r="X746" s="6"/>
    </row>
    <row r="747" spans="13:24" x14ac:dyDescent="0.3">
      <c r="M747" s="6"/>
      <c r="N747" s="6"/>
      <c r="O747" s="6"/>
      <c r="P747" s="6"/>
      <c r="R747" s="5"/>
      <c r="S747" s="6"/>
      <c r="T747" s="6"/>
      <c r="U747" s="6"/>
      <c r="V747" s="6"/>
      <c r="W747" s="6"/>
      <c r="X747" s="6"/>
    </row>
    <row r="748" spans="13:24" x14ac:dyDescent="0.3">
      <c r="M748" s="6"/>
      <c r="N748" s="6"/>
      <c r="O748" s="6"/>
      <c r="P748" s="6"/>
      <c r="R748" s="5"/>
      <c r="S748" s="6"/>
      <c r="T748" s="6"/>
      <c r="U748" s="6"/>
      <c r="V748" s="6"/>
      <c r="W748" s="6"/>
      <c r="X748" s="6"/>
    </row>
    <row r="749" spans="13:24" x14ac:dyDescent="0.3">
      <c r="M749" s="6"/>
      <c r="N749" s="6"/>
      <c r="O749" s="6"/>
      <c r="P749" s="6"/>
      <c r="R749" s="5"/>
      <c r="S749" s="6"/>
      <c r="T749" s="6"/>
      <c r="U749" s="6"/>
      <c r="V749" s="6"/>
      <c r="W749" s="6"/>
      <c r="X749" s="6"/>
    </row>
    <row r="750" spans="13:24" x14ac:dyDescent="0.3">
      <c r="M750" s="6"/>
      <c r="N750" s="6"/>
      <c r="O750" s="6"/>
      <c r="P750" s="6"/>
      <c r="R750" s="5"/>
      <c r="S750" s="6"/>
      <c r="T750" s="6"/>
      <c r="U750" s="6"/>
      <c r="V750" s="6"/>
      <c r="W750" s="6"/>
      <c r="X750" s="6"/>
    </row>
    <row r="751" spans="13:24" x14ac:dyDescent="0.3">
      <c r="M751" s="6"/>
      <c r="N751" s="6"/>
      <c r="O751" s="6"/>
      <c r="P751" s="6"/>
      <c r="R751" s="5"/>
      <c r="S751" s="6"/>
      <c r="T751" s="6"/>
      <c r="U751" s="6"/>
      <c r="V751" s="6"/>
      <c r="W751" s="6"/>
      <c r="X751" s="6"/>
    </row>
    <row r="752" spans="13:24" x14ac:dyDescent="0.3">
      <c r="M752" s="6"/>
      <c r="N752" s="6"/>
      <c r="O752" s="6"/>
      <c r="P752" s="6"/>
      <c r="R752" s="5"/>
      <c r="S752" s="6"/>
      <c r="T752" s="6"/>
      <c r="U752" s="6"/>
      <c r="V752" s="6"/>
      <c r="W752" s="6"/>
      <c r="X752" s="6"/>
    </row>
    <row r="753" spans="13:24" x14ac:dyDescent="0.3">
      <c r="M753" s="6"/>
      <c r="N753" s="6"/>
      <c r="O753" s="6"/>
      <c r="P753" s="6"/>
      <c r="R753" s="5"/>
      <c r="S753" s="6"/>
      <c r="T753" s="6"/>
      <c r="U753" s="6"/>
      <c r="V753" s="6"/>
      <c r="W753" s="6"/>
      <c r="X753" s="6"/>
    </row>
    <row r="754" spans="13:24" x14ac:dyDescent="0.3">
      <c r="M754" s="6"/>
      <c r="N754" s="6"/>
      <c r="O754" s="6"/>
      <c r="P754" s="6"/>
      <c r="R754" s="5"/>
      <c r="S754" s="6"/>
      <c r="T754" s="6"/>
      <c r="U754" s="6"/>
      <c r="V754" s="6"/>
      <c r="W754" s="6"/>
      <c r="X754" s="6"/>
    </row>
    <row r="755" spans="13:24" x14ac:dyDescent="0.3">
      <c r="M755" s="6"/>
      <c r="N755" s="6"/>
      <c r="O755" s="6"/>
      <c r="P755" s="6"/>
      <c r="R755" s="5"/>
      <c r="S755" s="6"/>
      <c r="T755" s="6"/>
      <c r="U755" s="6"/>
      <c r="V755" s="6"/>
      <c r="W755" s="6"/>
      <c r="X755" s="6"/>
    </row>
    <row r="756" spans="13:24" x14ac:dyDescent="0.3">
      <c r="M756" s="6"/>
      <c r="N756" s="6"/>
      <c r="O756" s="6"/>
      <c r="P756" s="6"/>
      <c r="R756" s="5"/>
      <c r="S756" s="6"/>
      <c r="T756" s="6"/>
      <c r="U756" s="6"/>
      <c r="V756" s="6"/>
      <c r="W756" s="6"/>
      <c r="X756" s="6"/>
    </row>
    <row r="757" spans="13:24" x14ac:dyDescent="0.3">
      <c r="M757" s="6"/>
      <c r="N757" s="6"/>
      <c r="O757" s="6"/>
      <c r="P757" s="6"/>
      <c r="R757" s="5"/>
      <c r="S757" s="6"/>
      <c r="T757" s="6"/>
      <c r="U757" s="6"/>
      <c r="V757" s="6"/>
      <c r="W757" s="6"/>
      <c r="X757" s="6"/>
    </row>
    <row r="758" spans="13:24" x14ac:dyDescent="0.3">
      <c r="M758" s="6"/>
      <c r="N758" s="6"/>
      <c r="O758" s="6"/>
      <c r="P758" s="6"/>
      <c r="R758" s="5"/>
      <c r="S758" s="6"/>
      <c r="T758" s="6"/>
      <c r="U758" s="6"/>
      <c r="V758" s="6"/>
      <c r="W758" s="6"/>
      <c r="X758" s="6"/>
    </row>
    <row r="759" spans="13:24" x14ac:dyDescent="0.3">
      <c r="M759" s="6"/>
      <c r="N759" s="6"/>
      <c r="O759" s="6"/>
      <c r="P759" s="6"/>
      <c r="R759" s="5"/>
      <c r="S759" s="6"/>
      <c r="T759" s="6"/>
      <c r="U759" s="6"/>
      <c r="V759" s="6"/>
      <c r="W759" s="6"/>
      <c r="X759" s="6"/>
    </row>
    <row r="760" spans="13:24" x14ac:dyDescent="0.3">
      <c r="M760" s="6"/>
      <c r="N760" s="6"/>
      <c r="O760" s="6"/>
      <c r="P760" s="6"/>
      <c r="R760" s="5"/>
      <c r="S760" s="6"/>
      <c r="T760" s="6"/>
      <c r="U760" s="6"/>
      <c r="V760" s="6"/>
      <c r="W760" s="6"/>
      <c r="X760" s="6"/>
    </row>
    <row r="761" spans="13:24" x14ac:dyDescent="0.3">
      <c r="M761" s="6"/>
      <c r="N761" s="6"/>
      <c r="O761" s="6"/>
      <c r="P761" s="6"/>
      <c r="R761" s="5"/>
      <c r="S761" s="6"/>
      <c r="T761" s="6"/>
      <c r="U761" s="6"/>
      <c r="V761" s="6"/>
      <c r="W761" s="6"/>
      <c r="X761" s="6"/>
    </row>
    <row r="762" spans="13:24" x14ac:dyDescent="0.3">
      <c r="M762" s="6"/>
      <c r="N762" s="6"/>
      <c r="O762" s="6"/>
      <c r="P762" s="6"/>
      <c r="R762" s="5"/>
      <c r="S762" s="6"/>
      <c r="T762" s="6"/>
      <c r="U762" s="6"/>
      <c r="V762" s="6"/>
      <c r="W762" s="6"/>
      <c r="X762" s="6"/>
    </row>
    <row r="763" spans="13:24" x14ac:dyDescent="0.3">
      <c r="M763" s="6"/>
      <c r="N763" s="6"/>
      <c r="O763" s="6"/>
      <c r="P763" s="6"/>
      <c r="R763" s="5"/>
      <c r="S763" s="6"/>
      <c r="T763" s="6"/>
      <c r="U763" s="6"/>
      <c r="V763" s="6"/>
      <c r="W763" s="6"/>
      <c r="X763" s="6"/>
    </row>
    <row r="764" spans="13:24" x14ac:dyDescent="0.3">
      <c r="M764" s="6"/>
      <c r="N764" s="6"/>
      <c r="O764" s="6"/>
      <c r="P764" s="6"/>
      <c r="R764" s="5"/>
      <c r="S764" s="6"/>
      <c r="T764" s="6"/>
      <c r="U764" s="6"/>
      <c r="V764" s="6"/>
      <c r="W764" s="6"/>
      <c r="X764" s="6"/>
    </row>
    <row r="765" spans="13:24" x14ac:dyDescent="0.3">
      <c r="M765" s="6"/>
      <c r="N765" s="6"/>
      <c r="O765" s="6"/>
      <c r="P765" s="6"/>
      <c r="R765" s="5"/>
      <c r="S765" s="6"/>
      <c r="T765" s="6"/>
      <c r="U765" s="6"/>
      <c r="V765" s="6"/>
      <c r="W765" s="6"/>
      <c r="X765" s="6"/>
    </row>
    <row r="766" spans="13:24" x14ac:dyDescent="0.3">
      <c r="M766" s="6"/>
      <c r="N766" s="6"/>
      <c r="O766" s="6"/>
      <c r="P766" s="6"/>
      <c r="R766" s="5"/>
      <c r="S766" s="6"/>
      <c r="T766" s="6"/>
      <c r="U766" s="6"/>
      <c r="V766" s="6"/>
      <c r="W766" s="6"/>
      <c r="X766" s="6"/>
    </row>
    <row r="767" spans="13:24" x14ac:dyDescent="0.3">
      <c r="M767" s="6"/>
      <c r="N767" s="6"/>
      <c r="O767" s="6"/>
      <c r="P767" s="6"/>
      <c r="R767" s="5"/>
      <c r="S767" s="6"/>
      <c r="T767" s="6"/>
      <c r="U767" s="6"/>
      <c r="V767" s="6"/>
      <c r="W767" s="6"/>
      <c r="X767" s="6"/>
    </row>
    <row r="768" spans="13:24" x14ac:dyDescent="0.3">
      <c r="M768" s="6"/>
      <c r="N768" s="6"/>
      <c r="O768" s="6"/>
      <c r="P768" s="6"/>
      <c r="R768" s="5"/>
      <c r="S768" s="6"/>
      <c r="T768" s="6"/>
      <c r="U768" s="6"/>
      <c r="V768" s="6"/>
      <c r="W768" s="6"/>
      <c r="X768" s="6"/>
    </row>
    <row r="769" spans="13:24" x14ac:dyDescent="0.3">
      <c r="M769" s="6"/>
      <c r="N769" s="6"/>
      <c r="O769" s="6"/>
      <c r="P769" s="6"/>
      <c r="R769" s="5"/>
      <c r="S769" s="6"/>
      <c r="T769" s="6"/>
      <c r="U769" s="6"/>
      <c r="V769" s="6"/>
      <c r="W769" s="6"/>
      <c r="X769" s="6"/>
    </row>
    <row r="770" spans="13:24" x14ac:dyDescent="0.3">
      <c r="M770" s="6"/>
      <c r="N770" s="6"/>
      <c r="O770" s="6"/>
      <c r="P770" s="6"/>
      <c r="R770" s="5"/>
      <c r="S770" s="6"/>
      <c r="T770" s="6"/>
      <c r="U770" s="6"/>
      <c r="V770" s="6"/>
      <c r="W770" s="6"/>
      <c r="X770" s="6"/>
    </row>
    <row r="771" spans="13:24" x14ac:dyDescent="0.3">
      <c r="M771" s="6"/>
      <c r="N771" s="6"/>
      <c r="O771" s="6"/>
      <c r="P771" s="6"/>
      <c r="R771" s="5"/>
      <c r="S771" s="6"/>
      <c r="T771" s="6"/>
      <c r="U771" s="6"/>
      <c r="V771" s="6"/>
      <c r="W771" s="6"/>
      <c r="X771" s="6"/>
    </row>
    <row r="772" spans="13:24" x14ac:dyDescent="0.3">
      <c r="M772" s="6"/>
      <c r="N772" s="6"/>
      <c r="O772" s="6"/>
      <c r="P772" s="6"/>
      <c r="R772" s="5"/>
      <c r="S772" s="6"/>
      <c r="T772" s="6"/>
      <c r="U772" s="6"/>
      <c r="V772" s="6"/>
      <c r="W772" s="6"/>
      <c r="X772" s="6"/>
    </row>
    <row r="773" spans="13:24" x14ac:dyDescent="0.3">
      <c r="M773" s="6"/>
      <c r="N773" s="6"/>
      <c r="O773" s="6"/>
      <c r="P773" s="6"/>
      <c r="R773" s="5"/>
      <c r="S773" s="6"/>
      <c r="T773" s="6"/>
      <c r="U773" s="6"/>
      <c r="V773" s="6"/>
      <c r="W773" s="6"/>
      <c r="X773" s="6"/>
    </row>
    <row r="774" spans="13:24" x14ac:dyDescent="0.3">
      <c r="M774" s="6"/>
      <c r="N774" s="6"/>
      <c r="O774" s="6"/>
      <c r="P774" s="6"/>
      <c r="R774" s="5"/>
      <c r="S774" s="6"/>
      <c r="T774" s="6"/>
      <c r="U774" s="6"/>
      <c r="V774" s="6"/>
      <c r="W774" s="6"/>
      <c r="X774" s="6"/>
    </row>
    <row r="775" spans="13:24" x14ac:dyDescent="0.3">
      <c r="M775" s="6"/>
      <c r="N775" s="6"/>
      <c r="O775" s="6"/>
      <c r="P775" s="6"/>
      <c r="R775" s="5"/>
      <c r="S775" s="6"/>
      <c r="T775" s="6"/>
      <c r="U775" s="6"/>
      <c r="V775" s="6"/>
      <c r="W775" s="6"/>
      <c r="X775" s="6"/>
    </row>
    <row r="776" spans="13:24" x14ac:dyDescent="0.3">
      <c r="M776" s="6"/>
      <c r="N776" s="6"/>
      <c r="O776" s="6"/>
      <c r="P776" s="6"/>
      <c r="R776" s="5"/>
      <c r="S776" s="6"/>
      <c r="T776" s="6"/>
      <c r="U776" s="6"/>
      <c r="V776" s="6"/>
      <c r="W776" s="6"/>
      <c r="X776" s="6"/>
    </row>
    <row r="777" spans="13:24" x14ac:dyDescent="0.3">
      <c r="M777" s="6"/>
      <c r="N777" s="6"/>
      <c r="O777" s="6"/>
      <c r="P777" s="6"/>
      <c r="R777" s="5"/>
      <c r="S777" s="6"/>
      <c r="T777" s="6"/>
      <c r="U777" s="6"/>
      <c r="V777" s="6"/>
      <c r="W777" s="6"/>
      <c r="X777" s="6"/>
    </row>
    <row r="778" spans="13:24" x14ac:dyDescent="0.3">
      <c r="M778" s="6"/>
      <c r="N778" s="6"/>
      <c r="O778" s="6"/>
      <c r="P778" s="6"/>
      <c r="R778" s="5"/>
      <c r="S778" s="6"/>
      <c r="T778" s="6"/>
      <c r="U778" s="6"/>
      <c r="V778" s="6"/>
      <c r="W778" s="6"/>
      <c r="X778" s="6"/>
    </row>
    <row r="779" spans="13:24" x14ac:dyDescent="0.3">
      <c r="M779" s="6"/>
      <c r="N779" s="6"/>
      <c r="O779" s="6"/>
      <c r="P779" s="6"/>
      <c r="R779" s="5"/>
      <c r="S779" s="6"/>
      <c r="T779" s="6"/>
      <c r="U779" s="6"/>
      <c r="V779" s="6"/>
      <c r="W779" s="6"/>
      <c r="X779" s="6"/>
    </row>
    <row r="780" spans="13:24" x14ac:dyDescent="0.3">
      <c r="M780" s="6"/>
      <c r="N780" s="6"/>
      <c r="O780" s="6"/>
      <c r="P780" s="6"/>
      <c r="R780" s="5"/>
      <c r="S780" s="6"/>
      <c r="T780" s="6"/>
      <c r="U780" s="6"/>
      <c r="V780" s="6"/>
      <c r="W780" s="6"/>
      <c r="X780" s="6"/>
    </row>
    <row r="781" spans="13:24" x14ac:dyDescent="0.3">
      <c r="M781" s="6"/>
      <c r="N781" s="6"/>
      <c r="O781" s="6"/>
      <c r="P781" s="6"/>
      <c r="R781" s="5"/>
      <c r="S781" s="6"/>
      <c r="T781" s="6"/>
      <c r="U781" s="6"/>
      <c r="V781" s="6"/>
      <c r="W781" s="6"/>
      <c r="X781" s="6"/>
    </row>
    <row r="782" spans="13:24" x14ac:dyDescent="0.3">
      <c r="M782" s="6"/>
      <c r="N782" s="6"/>
      <c r="O782" s="6"/>
      <c r="P782" s="6"/>
      <c r="R782" s="5"/>
      <c r="S782" s="6"/>
      <c r="T782" s="6"/>
      <c r="U782" s="6"/>
      <c r="V782" s="6"/>
      <c r="W782" s="6"/>
      <c r="X782" s="6"/>
    </row>
    <row r="783" spans="13:24" x14ac:dyDescent="0.3">
      <c r="M783" s="6"/>
      <c r="N783" s="6"/>
      <c r="O783" s="6"/>
      <c r="P783" s="6"/>
      <c r="R783" s="5"/>
      <c r="S783" s="6"/>
      <c r="T783" s="6"/>
      <c r="U783" s="6"/>
      <c r="V783" s="6"/>
      <c r="W783" s="6"/>
      <c r="X783" s="6"/>
    </row>
    <row r="784" spans="13:24" x14ac:dyDescent="0.3">
      <c r="M784" s="6"/>
      <c r="N784" s="6"/>
      <c r="O784" s="6"/>
      <c r="P784" s="6"/>
      <c r="R784" s="5"/>
      <c r="S784" s="6"/>
      <c r="T784" s="6"/>
      <c r="U784" s="6"/>
      <c r="V784" s="6"/>
      <c r="W784" s="6"/>
      <c r="X784" s="6"/>
    </row>
    <row r="785" spans="13:24" x14ac:dyDescent="0.3">
      <c r="M785" s="6"/>
      <c r="N785" s="6"/>
      <c r="O785" s="6"/>
      <c r="P785" s="6"/>
      <c r="R785" s="5"/>
      <c r="S785" s="6"/>
      <c r="T785" s="6"/>
      <c r="U785" s="6"/>
      <c r="V785" s="6"/>
      <c r="W785" s="6"/>
      <c r="X785" s="6"/>
    </row>
    <row r="786" spans="13:24" x14ac:dyDescent="0.3">
      <c r="M786" s="6"/>
      <c r="N786" s="6"/>
      <c r="O786" s="6"/>
      <c r="P786" s="6"/>
      <c r="R786" s="5"/>
      <c r="S786" s="6"/>
      <c r="T786" s="6"/>
      <c r="U786" s="6"/>
      <c r="V786" s="6"/>
      <c r="W786" s="6"/>
      <c r="X786" s="6"/>
    </row>
    <row r="787" spans="13:24" x14ac:dyDescent="0.3">
      <c r="M787" s="6"/>
      <c r="N787" s="6"/>
      <c r="O787" s="6"/>
      <c r="P787" s="6"/>
      <c r="R787" s="5"/>
      <c r="S787" s="6"/>
      <c r="T787" s="6"/>
      <c r="U787" s="6"/>
      <c r="V787" s="6"/>
      <c r="W787" s="6"/>
      <c r="X787" s="6"/>
    </row>
    <row r="788" spans="13:24" x14ac:dyDescent="0.3">
      <c r="M788" s="6"/>
      <c r="N788" s="6"/>
      <c r="O788" s="6"/>
      <c r="P788" s="6"/>
      <c r="R788" s="5"/>
      <c r="S788" s="6"/>
      <c r="T788" s="6"/>
      <c r="U788" s="6"/>
      <c r="V788" s="6"/>
      <c r="W788" s="6"/>
      <c r="X788" s="6"/>
    </row>
    <row r="789" spans="13:24" x14ac:dyDescent="0.3">
      <c r="M789" s="6"/>
      <c r="N789" s="6"/>
      <c r="O789" s="6"/>
      <c r="P789" s="6"/>
      <c r="R789" s="5"/>
      <c r="S789" s="6"/>
      <c r="T789" s="6"/>
      <c r="U789" s="6"/>
      <c r="V789" s="6"/>
      <c r="W789" s="6"/>
      <c r="X789" s="6"/>
    </row>
    <row r="790" spans="13:24" x14ac:dyDescent="0.3">
      <c r="M790" s="6"/>
      <c r="N790" s="6"/>
      <c r="O790" s="6"/>
      <c r="P790" s="6"/>
      <c r="R790" s="5"/>
      <c r="S790" s="6"/>
      <c r="T790" s="6"/>
      <c r="U790" s="6"/>
      <c r="V790" s="6"/>
      <c r="W790" s="6"/>
      <c r="X790" s="6"/>
    </row>
    <row r="791" spans="13:24" x14ac:dyDescent="0.3">
      <c r="M791" s="6"/>
      <c r="N791" s="6"/>
      <c r="O791" s="6"/>
      <c r="P791" s="6"/>
      <c r="R791" s="5"/>
      <c r="S791" s="6"/>
      <c r="T791" s="6"/>
      <c r="U791" s="6"/>
      <c r="V791" s="6"/>
      <c r="W791" s="6"/>
      <c r="X791" s="6"/>
    </row>
    <row r="792" spans="13:24" x14ac:dyDescent="0.3">
      <c r="M792" s="6"/>
      <c r="N792" s="6"/>
      <c r="O792" s="6"/>
      <c r="P792" s="6"/>
      <c r="R792" s="5"/>
      <c r="S792" s="6"/>
      <c r="T792" s="6"/>
      <c r="U792" s="6"/>
      <c r="V792" s="6"/>
      <c r="W792" s="6"/>
      <c r="X792" s="6"/>
    </row>
    <row r="793" spans="13:24" x14ac:dyDescent="0.3">
      <c r="M793" s="6"/>
      <c r="N793" s="6"/>
      <c r="O793" s="6"/>
      <c r="P793" s="6"/>
      <c r="R793" s="5"/>
      <c r="S793" s="6"/>
      <c r="T793" s="6"/>
      <c r="U793" s="6"/>
      <c r="V793" s="6"/>
      <c r="W793" s="6"/>
      <c r="X793" s="6"/>
    </row>
    <row r="794" spans="13:24" x14ac:dyDescent="0.3">
      <c r="M794" s="6"/>
      <c r="N794" s="6"/>
      <c r="O794" s="6"/>
      <c r="P794" s="6"/>
      <c r="R794" s="5"/>
      <c r="S794" s="6"/>
      <c r="T794" s="6"/>
      <c r="U794" s="6"/>
      <c r="V794" s="6"/>
      <c r="W794" s="6"/>
      <c r="X794" s="6"/>
    </row>
    <row r="795" spans="13:24" x14ac:dyDescent="0.3">
      <c r="M795" s="6"/>
      <c r="N795" s="6"/>
      <c r="O795" s="6"/>
      <c r="P795" s="6"/>
      <c r="R795" s="5"/>
      <c r="S795" s="6"/>
      <c r="T795" s="6"/>
      <c r="U795" s="6"/>
      <c r="V795" s="6"/>
      <c r="W795" s="6"/>
      <c r="X795" s="6"/>
    </row>
    <row r="796" spans="13:24" x14ac:dyDescent="0.3">
      <c r="M796" s="6"/>
      <c r="N796" s="6"/>
      <c r="O796" s="6"/>
      <c r="P796" s="6"/>
      <c r="R796" s="5"/>
      <c r="S796" s="6"/>
      <c r="T796" s="6"/>
      <c r="U796" s="6"/>
      <c r="V796" s="6"/>
      <c r="W796" s="6"/>
      <c r="X796" s="6"/>
    </row>
    <row r="797" spans="13:24" x14ac:dyDescent="0.3">
      <c r="M797" s="6"/>
      <c r="N797" s="6"/>
      <c r="O797" s="6"/>
      <c r="P797" s="6"/>
      <c r="R797" s="5"/>
      <c r="S797" s="6"/>
      <c r="T797" s="6"/>
      <c r="U797" s="6"/>
      <c r="V797" s="6"/>
      <c r="W797" s="6"/>
      <c r="X797" s="6"/>
    </row>
    <row r="798" spans="13:24" x14ac:dyDescent="0.3">
      <c r="M798" s="6"/>
      <c r="N798" s="6"/>
      <c r="O798" s="6"/>
      <c r="P798" s="6"/>
      <c r="R798" s="5"/>
      <c r="S798" s="6"/>
      <c r="T798" s="6"/>
      <c r="U798" s="6"/>
      <c r="V798" s="6"/>
      <c r="W798" s="6"/>
      <c r="X798" s="6"/>
    </row>
    <row r="799" spans="13:24" x14ac:dyDescent="0.3">
      <c r="M799" s="6"/>
      <c r="N799" s="6"/>
      <c r="O799" s="6"/>
      <c r="P799" s="6"/>
      <c r="R799" s="5"/>
      <c r="S799" s="6"/>
      <c r="T799" s="6"/>
      <c r="U799" s="6"/>
      <c r="V799" s="6"/>
      <c r="W799" s="6"/>
      <c r="X799" s="6"/>
    </row>
    <row r="800" spans="13:24" x14ac:dyDescent="0.3">
      <c r="M800" s="6"/>
      <c r="N800" s="6"/>
      <c r="O800" s="6"/>
      <c r="P800" s="6"/>
      <c r="R800" s="5"/>
      <c r="S800" s="6"/>
      <c r="T800" s="6"/>
      <c r="U800" s="6"/>
      <c r="V800" s="6"/>
      <c r="W800" s="6"/>
      <c r="X800" s="6"/>
    </row>
    <row r="801" spans="13:24" x14ac:dyDescent="0.3">
      <c r="M801" s="6"/>
      <c r="N801" s="6"/>
      <c r="O801" s="6"/>
      <c r="P801" s="6"/>
      <c r="R801" s="5"/>
      <c r="S801" s="6"/>
      <c r="T801" s="6"/>
      <c r="U801" s="6"/>
      <c r="V801" s="6"/>
      <c r="W801" s="6"/>
      <c r="X801" s="6"/>
    </row>
    <row r="802" spans="13:24" x14ac:dyDescent="0.3">
      <c r="M802" s="6"/>
      <c r="N802" s="6"/>
      <c r="O802" s="6"/>
      <c r="P802" s="6"/>
      <c r="R802" s="5"/>
      <c r="S802" s="6"/>
      <c r="T802" s="6"/>
      <c r="U802" s="6"/>
      <c r="V802" s="6"/>
      <c r="W802" s="6"/>
      <c r="X802" s="6"/>
    </row>
    <row r="803" spans="13:24" x14ac:dyDescent="0.3">
      <c r="M803" s="6"/>
      <c r="N803" s="6"/>
      <c r="O803" s="6"/>
      <c r="P803" s="6"/>
      <c r="R803" s="5"/>
      <c r="S803" s="6"/>
      <c r="T803" s="6"/>
      <c r="U803" s="6"/>
      <c r="V803" s="6"/>
      <c r="W803" s="6"/>
      <c r="X803" s="6"/>
    </row>
    <row r="804" spans="13:24" x14ac:dyDescent="0.3">
      <c r="M804" s="6"/>
      <c r="N804" s="6"/>
      <c r="O804" s="6"/>
      <c r="P804" s="6"/>
      <c r="R804" s="5"/>
      <c r="S804" s="6"/>
      <c r="T804" s="6"/>
      <c r="U804" s="6"/>
      <c r="V804" s="6"/>
      <c r="W804" s="6"/>
      <c r="X804" s="6"/>
    </row>
    <row r="805" spans="13:24" x14ac:dyDescent="0.3">
      <c r="M805" s="6"/>
      <c r="N805" s="6"/>
      <c r="O805" s="6"/>
      <c r="P805" s="6"/>
      <c r="R805" s="5"/>
      <c r="S805" s="6"/>
      <c r="T805" s="6"/>
      <c r="U805" s="6"/>
      <c r="V805" s="6"/>
      <c r="W805" s="6"/>
      <c r="X805" s="6"/>
    </row>
    <row r="806" spans="13:24" x14ac:dyDescent="0.3">
      <c r="M806" s="6"/>
      <c r="N806" s="6"/>
      <c r="O806" s="6"/>
      <c r="P806" s="6"/>
      <c r="R806" s="5"/>
      <c r="S806" s="6"/>
      <c r="T806" s="6"/>
      <c r="U806" s="6"/>
      <c r="V806" s="6"/>
      <c r="W806" s="6"/>
      <c r="X806" s="6"/>
    </row>
    <row r="807" spans="13:24" x14ac:dyDescent="0.3">
      <c r="M807" s="6"/>
      <c r="N807" s="6"/>
      <c r="O807" s="6"/>
      <c r="P807" s="6"/>
      <c r="R807" s="5"/>
      <c r="S807" s="6"/>
      <c r="T807" s="6"/>
      <c r="U807" s="6"/>
      <c r="V807" s="6"/>
      <c r="W807" s="6"/>
      <c r="X807" s="6"/>
    </row>
    <row r="808" spans="13:24" x14ac:dyDescent="0.3">
      <c r="M808" s="6"/>
      <c r="N808" s="6"/>
      <c r="O808" s="6"/>
      <c r="P808" s="6"/>
      <c r="R808" s="5"/>
      <c r="S808" s="6"/>
      <c r="T808" s="6"/>
      <c r="U808" s="6"/>
      <c r="V808" s="6"/>
      <c r="W808" s="6"/>
      <c r="X808" s="6"/>
    </row>
    <row r="809" spans="13:24" x14ac:dyDescent="0.3">
      <c r="M809" s="6"/>
      <c r="N809" s="6"/>
      <c r="O809" s="6"/>
      <c r="P809" s="6"/>
      <c r="R809" s="5"/>
      <c r="S809" s="6"/>
      <c r="T809" s="6"/>
      <c r="U809" s="6"/>
      <c r="V809" s="6"/>
      <c r="W809" s="6"/>
      <c r="X809" s="6"/>
    </row>
    <row r="810" spans="13:24" x14ac:dyDescent="0.3">
      <c r="M810" s="6"/>
      <c r="N810" s="6"/>
      <c r="O810" s="6"/>
      <c r="P810" s="6"/>
      <c r="R810" s="5"/>
      <c r="S810" s="6"/>
      <c r="T810" s="6"/>
      <c r="U810" s="6"/>
      <c r="V810" s="6"/>
      <c r="W810" s="6"/>
      <c r="X810" s="6"/>
    </row>
    <row r="811" spans="13:24" x14ac:dyDescent="0.3">
      <c r="M811" s="6"/>
      <c r="N811" s="6"/>
      <c r="O811" s="6"/>
      <c r="P811" s="6"/>
      <c r="R811" s="5"/>
      <c r="S811" s="6"/>
      <c r="T811" s="6"/>
      <c r="U811" s="6"/>
      <c r="V811" s="6"/>
      <c r="W811" s="6"/>
      <c r="X811" s="6"/>
    </row>
    <row r="812" spans="13:24" x14ac:dyDescent="0.3">
      <c r="M812" s="6"/>
      <c r="N812" s="6"/>
      <c r="O812" s="6"/>
      <c r="P812" s="6"/>
      <c r="R812" s="5"/>
      <c r="S812" s="6"/>
      <c r="T812" s="6"/>
      <c r="U812" s="6"/>
      <c r="V812" s="6"/>
      <c r="W812" s="6"/>
      <c r="X812" s="6"/>
    </row>
    <row r="813" spans="13:24" x14ac:dyDescent="0.3">
      <c r="M813" s="6"/>
      <c r="N813" s="6"/>
      <c r="O813" s="6"/>
      <c r="P813" s="6"/>
      <c r="R813" s="5"/>
      <c r="S813" s="6"/>
      <c r="T813" s="6"/>
      <c r="U813" s="6"/>
      <c r="V813" s="6"/>
      <c r="W813" s="6"/>
      <c r="X813" s="6"/>
    </row>
    <row r="814" spans="13:24" x14ac:dyDescent="0.3">
      <c r="M814" s="6"/>
      <c r="N814" s="6"/>
      <c r="O814" s="6"/>
      <c r="P814" s="6"/>
      <c r="R814" s="5"/>
      <c r="S814" s="6"/>
      <c r="T814" s="6"/>
      <c r="U814" s="6"/>
      <c r="V814" s="6"/>
      <c r="W814" s="6"/>
      <c r="X814" s="6"/>
    </row>
    <row r="815" spans="13:24" x14ac:dyDescent="0.3">
      <c r="M815" s="6"/>
      <c r="N815" s="6"/>
      <c r="O815" s="6"/>
      <c r="P815" s="6"/>
      <c r="R815" s="5"/>
      <c r="S815" s="6"/>
      <c r="T815" s="6"/>
      <c r="U815" s="6"/>
      <c r="V815" s="6"/>
      <c r="W815" s="6"/>
      <c r="X815" s="6"/>
    </row>
    <row r="816" spans="13:24" x14ac:dyDescent="0.3">
      <c r="M816" s="6"/>
      <c r="N816" s="6"/>
      <c r="O816" s="6"/>
      <c r="P816" s="6"/>
      <c r="R816" s="5"/>
      <c r="S816" s="6"/>
      <c r="T816" s="6"/>
      <c r="U816" s="6"/>
      <c r="V816" s="6"/>
      <c r="W816" s="6"/>
      <c r="X816" s="6"/>
    </row>
    <row r="817" spans="13:24" x14ac:dyDescent="0.3">
      <c r="M817" s="6"/>
      <c r="N817" s="6"/>
      <c r="O817" s="6"/>
      <c r="P817" s="6"/>
      <c r="R817" s="5"/>
      <c r="S817" s="6"/>
      <c r="T817" s="6"/>
      <c r="U817" s="6"/>
      <c r="V817" s="6"/>
      <c r="W817" s="6"/>
      <c r="X817" s="6"/>
    </row>
    <row r="818" spans="13:24" x14ac:dyDescent="0.3">
      <c r="M818" s="6"/>
      <c r="N818" s="6"/>
      <c r="O818" s="6"/>
      <c r="P818" s="6"/>
      <c r="R818" s="5"/>
      <c r="S818" s="6"/>
      <c r="T818" s="6"/>
      <c r="U818" s="6"/>
      <c r="V818" s="6"/>
      <c r="W818" s="6"/>
      <c r="X818" s="6"/>
    </row>
    <row r="819" spans="13:24" x14ac:dyDescent="0.3">
      <c r="M819" s="6"/>
      <c r="N819" s="6"/>
      <c r="O819" s="6"/>
      <c r="P819" s="6"/>
      <c r="R819" s="5"/>
      <c r="S819" s="6"/>
      <c r="T819" s="6"/>
      <c r="U819" s="6"/>
      <c r="V819" s="6"/>
      <c r="W819" s="6"/>
      <c r="X819" s="6"/>
    </row>
    <row r="820" spans="13:24" x14ac:dyDescent="0.3">
      <c r="M820" s="6"/>
      <c r="N820" s="6"/>
      <c r="O820" s="6"/>
      <c r="P820" s="6"/>
      <c r="R820" s="5"/>
      <c r="S820" s="6"/>
      <c r="T820" s="6"/>
      <c r="U820" s="6"/>
      <c r="V820" s="6"/>
      <c r="W820" s="6"/>
      <c r="X820" s="6"/>
    </row>
    <row r="821" spans="13:24" x14ac:dyDescent="0.3">
      <c r="M821" s="6"/>
      <c r="N821" s="6"/>
      <c r="O821" s="6"/>
      <c r="P821" s="6"/>
      <c r="R821" s="5"/>
      <c r="S821" s="6"/>
      <c r="T821" s="6"/>
      <c r="U821" s="6"/>
      <c r="V821" s="6"/>
      <c r="W821" s="6"/>
      <c r="X821" s="6"/>
    </row>
    <row r="822" spans="13:24" x14ac:dyDescent="0.3">
      <c r="M822" s="6"/>
      <c r="N822" s="6"/>
      <c r="O822" s="6"/>
      <c r="P822" s="6"/>
      <c r="R822" s="5"/>
      <c r="S822" s="6"/>
      <c r="T822" s="6"/>
      <c r="U822" s="6"/>
      <c r="V822" s="6"/>
      <c r="W822" s="6"/>
      <c r="X822" s="6"/>
    </row>
    <row r="823" spans="13:24" x14ac:dyDescent="0.3">
      <c r="M823" s="6"/>
      <c r="N823" s="6"/>
      <c r="O823" s="6"/>
      <c r="P823" s="6"/>
      <c r="R823" s="5"/>
      <c r="S823" s="6"/>
      <c r="T823" s="6"/>
      <c r="U823" s="6"/>
      <c r="V823" s="6"/>
      <c r="W823" s="6"/>
      <c r="X823" s="6"/>
    </row>
    <row r="824" spans="13:24" x14ac:dyDescent="0.3">
      <c r="M824" s="6"/>
      <c r="N824" s="6"/>
      <c r="O824" s="6"/>
      <c r="P824" s="6"/>
      <c r="R824" s="5"/>
      <c r="S824" s="6"/>
      <c r="T824" s="6"/>
      <c r="U824" s="6"/>
      <c r="V824" s="6"/>
      <c r="W824" s="6"/>
      <c r="X824" s="6"/>
    </row>
    <row r="825" spans="13:24" x14ac:dyDescent="0.3">
      <c r="M825" s="6"/>
      <c r="N825" s="6"/>
      <c r="O825" s="6"/>
      <c r="P825" s="6"/>
      <c r="R825" s="5"/>
      <c r="S825" s="6"/>
      <c r="T825" s="6"/>
      <c r="U825" s="6"/>
      <c r="V825" s="6"/>
      <c r="W825" s="6"/>
      <c r="X825" s="6"/>
    </row>
    <row r="826" spans="13:24" x14ac:dyDescent="0.3">
      <c r="M826" s="6"/>
      <c r="N826" s="6"/>
      <c r="O826" s="6"/>
      <c r="P826" s="6"/>
      <c r="R826" s="5"/>
      <c r="S826" s="6"/>
      <c r="T826" s="6"/>
      <c r="U826" s="6"/>
      <c r="V826" s="6"/>
      <c r="W826" s="6"/>
      <c r="X826" s="6"/>
    </row>
    <row r="827" spans="13:24" x14ac:dyDescent="0.3">
      <c r="M827" s="6"/>
      <c r="N827" s="6"/>
      <c r="O827" s="6"/>
      <c r="P827" s="6"/>
      <c r="R827" s="5"/>
      <c r="S827" s="6"/>
      <c r="T827" s="6"/>
      <c r="U827" s="6"/>
      <c r="V827" s="6"/>
      <c r="W827" s="6"/>
      <c r="X827" s="6"/>
    </row>
    <row r="828" spans="13:24" x14ac:dyDescent="0.3">
      <c r="M828" s="6"/>
      <c r="N828" s="6"/>
      <c r="O828" s="6"/>
      <c r="P828" s="6"/>
      <c r="R828" s="5"/>
      <c r="S828" s="6"/>
      <c r="T828" s="6"/>
      <c r="U828" s="6"/>
      <c r="V828" s="6"/>
      <c r="W828" s="6"/>
      <c r="X828" s="6"/>
    </row>
    <row r="829" spans="13:24" x14ac:dyDescent="0.3">
      <c r="M829" s="6"/>
      <c r="N829" s="6"/>
      <c r="O829" s="6"/>
      <c r="P829" s="6"/>
      <c r="R829" s="5"/>
      <c r="S829" s="6"/>
      <c r="T829" s="6"/>
      <c r="U829" s="6"/>
      <c r="V829" s="6"/>
      <c r="W829" s="6"/>
      <c r="X829" s="6"/>
    </row>
    <row r="830" spans="13:24" x14ac:dyDescent="0.3">
      <c r="M830" s="6"/>
      <c r="N830" s="6"/>
      <c r="O830" s="6"/>
      <c r="P830" s="6"/>
      <c r="R830" s="5"/>
      <c r="S830" s="6"/>
      <c r="T830" s="6"/>
      <c r="U830" s="6"/>
      <c r="V830" s="6"/>
      <c r="W830" s="6"/>
      <c r="X830" s="6"/>
    </row>
    <row r="831" spans="13:24" x14ac:dyDescent="0.3">
      <c r="M831" s="6"/>
      <c r="N831" s="6"/>
      <c r="O831" s="6"/>
      <c r="P831" s="6"/>
      <c r="R831" s="5"/>
      <c r="S831" s="6"/>
      <c r="T831" s="6"/>
      <c r="U831" s="6"/>
      <c r="V831" s="6"/>
      <c r="W831" s="6"/>
      <c r="X831" s="6"/>
    </row>
    <row r="832" spans="13:24" x14ac:dyDescent="0.3">
      <c r="M832" s="6"/>
      <c r="N832" s="6"/>
      <c r="O832" s="6"/>
      <c r="P832" s="6"/>
      <c r="R832" s="5"/>
      <c r="S832" s="6"/>
      <c r="T832" s="6"/>
      <c r="U832" s="6"/>
      <c r="V832" s="6"/>
      <c r="W832" s="6"/>
      <c r="X832" s="6"/>
    </row>
    <row r="833" spans="13:24" x14ac:dyDescent="0.3">
      <c r="M833" s="6"/>
      <c r="N833" s="6"/>
      <c r="O833" s="6"/>
      <c r="P833" s="6"/>
      <c r="R833" s="5"/>
      <c r="S833" s="6"/>
      <c r="T833" s="6"/>
      <c r="U833" s="6"/>
      <c r="V833" s="6"/>
      <c r="W833" s="6"/>
      <c r="X833" s="6"/>
    </row>
    <row r="834" spans="13:24" x14ac:dyDescent="0.3">
      <c r="M834" s="6"/>
      <c r="N834" s="6"/>
      <c r="O834" s="6"/>
      <c r="P834" s="6"/>
      <c r="R834" s="5"/>
      <c r="S834" s="6"/>
      <c r="T834" s="6"/>
      <c r="U834" s="6"/>
      <c r="V834" s="6"/>
      <c r="W834" s="6"/>
      <c r="X834" s="6"/>
    </row>
    <row r="835" spans="13:24" x14ac:dyDescent="0.3">
      <c r="M835" s="6"/>
      <c r="N835" s="6"/>
      <c r="O835" s="6"/>
      <c r="P835" s="6"/>
      <c r="R835" s="5"/>
      <c r="S835" s="6"/>
      <c r="T835" s="6"/>
      <c r="U835" s="6"/>
      <c r="V835" s="6"/>
      <c r="W835" s="6"/>
      <c r="X835" s="6"/>
    </row>
    <row r="836" spans="13:24" x14ac:dyDescent="0.3">
      <c r="M836" s="6"/>
      <c r="N836" s="6"/>
      <c r="O836" s="6"/>
      <c r="P836" s="6"/>
      <c r="R836" s="5"/>
      <c r="S836" s="6"/>
      <c r="T836" s="6"/>
      <c r="U836" s="6"/>
      <c r="V836" s="6"/>
      <c r="W836" s="6"/>
      <c r="X836" s="6"/>
    </row>
    <row r="837" spans="13:24" x14ac:dyDescent="0.3">
      <c r="M837" s="6"/>
      <c r="N837" s="6"/>
      <c r="O837" s="6"/>
      <c r="P837" s="6"/>
      <c r="R837" s="5"/>
      <c r="S837" s="6"/>
      <c r="T837" s="6"/>
      <c r="U837" s="6"/>
      <c r="V837" s="6"/>
      <c r="W837" s="6"/>
      <c r="X837" s="6"/>
    </row>
    <row r="838" spans="13:24" x14ac:dyDescent="0.3">
      <c r="M838" s="6"/>
      <c r="N838" s="6"/>
      <c r="O838" s="6"/>
      <c r="P838" s="6"/>
      <c r="R838" s="5"/>
      <c r="S838" s="6"/>
      <c r="T838" s="6"/>
      <c r="U838" s="6"/>
      <c r="V838" s="6"/>
      <c r="W838" s="6"/>
      <c r="X838" s="6"/>
    </row>
    <row r="839" spans="13:24" x14ac:dyDescent="0.3">
      <c r="M839" s="6"/>
      <c r="N839" s="6"/>
      <c r="O839" s="6"/>
      <c r="P839" s="6"/>
      <c r="R839" s="5"/>
      <c r="S839" s="6"/>
      <c r="T839" s="6"/>
      <c r="U839" s="6"/>
      <c r="V839" s="6"/>
      <c r="W839" s="6"/>
      <c r="X839" s="6"/>
    </row>
    <row r="840" spans="13:24" x14ac:dyDescent="0.3">
      <c r="M840" s="6"/>
      <c r="N840" s="6"/>
      <c r="O840" s="6"/>
      <c r="P840" s="6"/>
      <c r="R840" s="5"/>
      <c r="S840" s="6"/>
      <c r="T840" s="6"/>
      <c r="U840" s="6"/>
      <c r="V840" s="6"/>
      <c r="W840" s="6"/>
      <c r="X840" s="6"/>
    </row>
    <row r="841" spans="13:24" x14ac:dyDescent="0.3">
      <c r="M841" s="6"/>
      <c r="N841" s="6"/>
      <c r="O841" s="6"/>
      <c r="P841" s="6"/>
      <c r="R841" s="5"/>
      <c r="S841" s="6"/>
      <c r="T841" s="6"/>
      <c r="U841" s="6"/>
      <c r="V841" s="6"/>
      <c r="W841" s="6"/>
      <c r="X841" s="6"/>
    </row>
    <row r="842" spans="13:24" x14ac:dyDescent="0.3">
      <c r="M842" s="6"/>
      <c r="N842" s="6"/>
      <c r="O842" s="6"/>
      <c r="P842" s="6"/>
      <c r="R842" s="5"/>
      <c r="S842" s="6"/>
      <c r="T842" s="6"/>
      <c r="U842" s="6"/>
      <c r="V842" s="6"/>
      <c r="W842" s="6"/>
      <c r="X842" s="6"/>
    </row>
    <row r="843" spans="13:24" x14ac:dyDescent="0.3">
      <c r="M843" s="6"/>
      <c r="N843" s="6"/>
      <c r="O843" s="6"/>
      <c r="P843" s="6"/>
      <c r="R843" s="5"/>
      <c r="S843" s="6"/>
      <c r="T843" s="6"/>
      <c r="U843" s="6"/>
      <c r="V843" s="6"/>
      <c r="W843" s="6"/>
      <c r="X843" s="6"/>
    </row>
    <row r="844" spans="13:24" x14ac:dyDescent="0.3">
      <c r="M844" s="6"/>
      <c r="N844" s="6"/>
      <c r="O844" s="6"/>
      <c r="P844" s="6"/>
      <c r="R844" s="5"/>
      <c r="S844" s="6"/>
      <c r="T844" s="6"/>
      <c r="U844" s="6"/>
      <c r="V844" s="6"/>
      <c r="W844" s="6"/>
      <c r="X844" s="6"/>
    </row>
    <row r="845" spans="13:24" x14ac:dyDescent="0.3">
      <c r="M845" s="6"/>
      <c r="N845" s="6"/>
      <c r="O845" s="6"/>
      <c r="P845" s="6"/>
      <c r="R845" s="5"/>
      <c r="S845" s="6"/>
      <c r="T845" s="6"/>
      <c r="U845" s="6"/>
      <c r="V845" s="6"/>
      <c r="W845" s="6"/>
      <c r="X845" s="6"/>
    </row>
    <row r="846" spans="13:24" x14ac:dyDescent="0.3">
      <c r="M846" s="6"/>
      <c r="N846" s="6"/>
      <c r="O846" s="6"/>
      <c r="P846" s="6"/>
      <c r="R846" s="5"/>
      <c r="S846" s="6"/>
      <c r="T846" s="6"/>
      <c r="U846" s="6"/>
      <c r="V846" s="6"/>
      <c r="W846" s="6"/>
      <c r="X846" s="6"/>
    </row>
    <row r="847" spans="13:24" x14ac:dyDescent="0.3">
      <c r="M847" s="6"/>
      <c r="N847" s="6"/>
      <c r="O847" s="6"/>
      <c r="P847" s="6"/>
      <c r="R847" s="5"/>
      <c r="S847" s="6"/>
      <c r="T847" s="6"/>
      <c r="U847" s="6"/>
      <c r="V847" s="6"/>
      <c r="W847" s="6"/>
      <c r="X847" s="6"/>
    </row>
    <row r="848" spans="13:24" x14ac:dyDescent="0.3">
      <c r="M848" s="6"/>
      <c r="N848" s="6"/>
      <c r="O848" s="6"/>
      <c r="P848" s="6"/>
      <c r="R848" s="5"/>
      <c r="S848" s="6"/>
      <c r="T848" s="6"/>
      <c r="U848" s="6"/>
      <c r="V848" s="6"/>
      <c r="W848" s="6"/>
      <c r="X848" s="6"/>
    </row>
    <row r="849" spans="13:24" x14ac:dyDescent="0.3">
      <c r="M849" s="6"/>
      <c r="N849" s="6"/>
      <c r="O849" s="6"/>
      <c r="P849" s="6"/>
      <c r="R849" s="5"/>
      <c r="S849" s="6"/>
      <c r="T849" s="6"/>
      <c r="U849" s="6"/>
      <c r="V849" s="6"/>
      <c r="W849" s="6"/>
      <c r="X849" s="6"/>
    </row>
    <row r="850" spans="13:24" x14ac:dyDescent="0.3">
      <c r="M850" s="6"/>
      <c r="N850" s="6"/>
      <c r="O850" s="6"/>
      <c r="P850" s="6"/>
      <c r="R850" s="5"/>
      <c r="S850" s="6"/>
      <c r="T850" s="6"/>
      <c r="U850" s="6"/>
      <c r="V850" s="6"/>
      <c r="W850" s="6"/>
      <c r="X850" s="6"/>
    </row>
    <row r="851" spans="13:24" x14ac:dyDescent="0.3">
      <c r="M851" s="6"/>
      <c r="N851" s="6"/>
      <c r="O851" s="6"/>
      <c r="P851" s="6"/>
      <c r="R851" s="5"/>
      <c r="S851" s="6"/>
      <c r="T851" s="6"/>
      <c r="U851" s="6"/>
      <c r="V851" s="6"/>
      <c r="W851" s="6"/>
      <c r="X851" s="6"/>
    </row>
    <row r="852" spans="13:24" x14ac:dyDescent="0.3">
      <c r="M852" s="6"/>
      <c r="N852" s="6"/>
      <c r="O852" s="6"/>
      <c r="P852" s="6"/>
      <c r="R852" s="5"/>
      <c r="S852" s="6"/>
      <c r="T852" s="6"/>
      <c r="U852" s="6"/>
      <c r="V852" s="6"/>
      <c r="W852" s="6"/>
      <c r="X852" s="6"/>
    </row>
    <row r="853" spans="13:24" x14ac:dyDescent="0.3">
      <c r="M853" s="6"/>
      <c r="N853" s="6"/>
      <c r="O853" s="6"/>
      <c r="P853" s="6"/>
      <c r="R853" s="5"/>
      <c r="S853" s="6"/>
      <c r="T853" s="6"/>
      <c r="U853" s="6"/>
      <c r="V853" s="6"/>
      <c r="W853" s="6"/>
      <c r="X853" s="6"/>
    </row>
    <row r="854" spans="13:24" x14ac:dyDescent="0.3">
      <c r="M854" s="6"/>
      <c r="N854" s="6"/>
      <c r="O854" s="6"/>
      <c r="P854" s="6"/>
      <c r="R854" s="5"/>
      <c r="S854" s="6"/>
      <c r="T854" s="6"/>
      <c r="U854" s="6"/>
      <c r="V854" s="6"/>
      <c r="W854" s="6"/>
      <c r="X854" s="6"/>
    </row>
    <row r="855" spans="13:24" x14ac:dyDescent="0.3">
      <c r="M855" s="6"/>
      <c r="N855" s="6"/>
      <c r="O855" s="6"/>
      <c r="P855" s="6"/>
      <c r="R855" s="5"/>
      <c r="S855" s="6"/>
      <c r="T855" s="6"/>
      <c r="U855" s="6"/>
      <c r="V855" s="6"/>
      <c r="W855" s="6"/>
      <c r="X855" s="6"/>
    </row>
    <row r="856" spans="13:24" x14ac:dyDescent="0.3">
      <c r="M856" s="6"/>
      <c r="N856" s="6"/>
      <c r="O856" s="6"/>
      <c r="P856" s="6"/>
      <c r="R856" s="5"/>
      <c r="S856" s="6"/>
      <c r="T856" s="6"/>
      <c r="U856" s="6"/>
      <c r="V856" s="6"/>
      <c r="W856" s="6"/>
      <c r="X856" s="6"/>
    </row>
    <row r="857" spans="13:24" x14ac:dyDescent="0.3">
      <c r="M857" s="6"/>
      <c r="N857" s="6"/>
      <c r="O857" s="6"/>
      <c r="P857" s="6"/>
      <c r="R857" s="5"/>
      <c r="S857" s="6"/>
      <c r="T857" s="6"/>
      <c r="U857" s="6"/>
      <c r="V857" s="6"/>
      <c r="W857" s="6"/>
      <c r="X857" s="6"/>
    </row>
    <row r="858" spans="13:24" x14ac:dyDescent="0.3">
      <c r="M858" s="6"/>
      <c r="N858" s="6"/>
      <c r="O858" s="6"/>
      <c r="P858" s="6"/>
      <c r="R858" s="5"/>
      <c r="S858" s="6"/>
      <c r="T858" s="6"/>
      <c r="U858" s="6"/>
      <c r="V858" s="6"/>
      <c r="W858" s="6"/>
      <c r="X858" s="6"/>
    </row>
    <row r="859" spans="13:24" x14ac:dyDescent="0.3">
      <c r="M859" s="6"/>
      <c r="N859" s="6"/>
      <c r="O859" s="6"/>
      <c r="P859" s="6"/>
      <c r="R859" s="5"/>
      <c r="S859" s="6"/>
      <c r="T859" s="6"/>
      <c r="U859" s="6"/>
      <c r="V859" s="6"/>
      <c r="W859" s="6"/>
      <c r="X859" s="6"/>
    </row>
    <row r="860" spans="13:24" x14ac:dyDescent="0.3">
      <c r="M860" s="6"/>
      <c r="N860" s="6"/>
      <c r="O860" s="6"/>
      <c r="P860" s="6"/>
      <c r="R860" s="5"/>
      <c r="S860" s="6"/>
      <c r="T860" s="6"/>
      <c r="U860" s="6"/>
      <c r="V860" s="6"/>
      <c r="W860" s="6"/>
      <c r="X860" s="6"/>
    </row>
    <row r="861" spans="13:24" x14ac:dyDescent="0.3">
      <c r="M861" s="6"/>
      <c r="N861" s="6"/>
      <c r="O861" s="6"/>
      <c r="P861" s="6"/>
      <c r="R861" s="5"/>
      <c r="S861" s="6"/>
      <c r="T861" s="6"/>
      <c r="U861" s="6"/>
      <c r="V861" s="6"/>
      <c r="W861" s="6"/>
      <c r="X861" s="6"/>
    </row>
    <row r="862" spans="13:24" x14ac:dyDescent="0.3">
      <c r="M862" s="6"/>
      <c r="N862" s="6"/>
      <c r="O862" s="6"/>
      <c r="P862" s="6"/>
      <c r="R862" s="5"/>
      <c r="S862" s="6"/>
      <c r="T862" s="6"/>
      <c r="U862" s="6"/>
      <c r="V862" s="6"/>
      <c r="W862" s="6"/>
      <c r="X862" s="6"/>
    </row>
    <row r="863" spans="13:24" x14ac:dyDescent="0.3">
      <c r="M863" s="6"/>
      <c r="N863" s="6"/>
      <c r="O863" s="6"/>
      <c r="P863" s="6"/>
      <c r="R863" s="5"/>
      <c r="S863" s="6"/>
      <c r="T863" s="6"/>
      <c r="U863" s="6"/>
      <c r="V863" s="6"/>
      <c r="W863" s="6"/>
      <c r="X863" s="6"/>
    </row>
    <row r="864" spans="13:24" x14ac:dyDescent="0.3">
      <c r="M864" s="6"/>
      <c r="N864" s="6"/>
      <c r="O864" s="6"/>
      <c r="P864" s="6"/>
      <c r="R864" s="5"/>
      <c r="S864" s="6"/>
      <c r="T864" s="6"/>
      <c r="U864" s="6"/>
      <c r="V864" s="6"/>
      <c r="W864" s="6"/>
      <c r="X864" s="6"/>
    </row>
    <row r="865" spans="13:24" x14ac:dyDescent="0.3">
      <c r="M865" s="6"/>
      <c r="N865" s="6"/>
      <c r="O865" s="6"/>
      <c r="P865" s="6"/>
      <c r="R865" s="5"/>
      <c r="S865" s="6"/>
      <c r="T865" s="6"/>
      <c r="U865" s="6"/>
      <c r="V865" s="6"/>
      <c r="W865" s="6"/>
      <c r="X865" s="6"/>
    </row>
    <row r="866" spans="13:24" x14ac:dyDescent="0.3">
      <c r="M866" s="6"/>
      <c r="N866" s="6"/>
      <c r="O866" s="6"/>
      <c r="P866" s="6"/>
      <c r="R866" s="5"/>
      <c r="S866" s="6"/>
      <c r="T866" s="6"/>
      <c r="U866" s="6"/>
      <c r="V866" s="6"/>
      <c r="W866" s="6"/>
      <c r="X866" s="6"/>
    </row>
    <row r="867" spans="13:24" x14ac:dyDescent="0.3">
      <c r="M867" s="6"/>
      <c r="N867" s="6"/>
      <c r="O867" s="6"/>
      <c r="P867" s="6"/>
      <c r="R867" s="5"/>
      <c r="S867" s="6"/>
      <c r="T867" s="6"/>
      <c r="U867" s="6"/>
      <c r="V867" s="6"/>
      <c r="W867" s="6"/>
      <c r="X867" s="6"/>
    </row>
    <row r="868" spans="13:24" x14ac:dyDescent="0.3">
      <c r="M868" s="6"/>
      <c r="N868" s="6"/>
      <c r="O868" s="6"/>
      <c r="P868" s="6"/>
      <c r="R868" s="5"/>
      <c r="S868" s="6"/>
      <c r="T868" s="6"/>
      <c r="U868" s="6"/>
      <c r="V868" s="6"/>
      <c r="W868" s="6"/>
      <c r="X868" s="6"/>
    </row>
    <row r="869" spans="13:24" x14ac:dyDescent="0.3">
      <c r="M869" s="6"/>
      <c r="N869" s="6"/>
      <c r="O869" s="6"/>
      <c r="P869" s="6"/>
      <c r="R869" s="5"/>
      <c r="S869" s="6"/>
      <c r="T869" s="6"/>
      <c r="U869" s="6"/>
      <c r="V869" s="6"/>
      <c r="W869" s="6"/>
      <c r="X869" s="6"/>
    </row>
    <row r="870" spans="13:24" x14ac:dyDescent="0.3">
      <c r="M870" s="6"/>
      <c r="N870" s="6"/>
      <c r="O870" s="6"/>
      <c r="P870" s="6"/>
      <c r="R870" s="5"/>
      <c r="S870" s="6"/>
      <c r="T870" s="6"/>
      <c r="U870" s="6"/>
      <c r="V870" s="6"/>
      <c r="W870" s="6"/>
      <c r="X870" s="6"/>
    </row>
    <row r="871" spans="13:24" x14ac:dyDescent="0.3">
      <c r="M871" s="6"/>
      <c r="N871" s="6"/>
      <c r="O871" s="6"/>
      <c r="P871" s="6"/>
      <c r="R871" s="5"/>
      <c r="S871" s="6"/>
      <c r="T871" s="6"/>
      <c r="U871" s="6"/>
      <c r="V871" s="6"/>
      <c r="W871" s="6"/>
      <c r="X871" s="6"/>
    </row>
    <row r="872" spans="13:24" x14ac:dyDescent="0.3">
      <c r="M872" s="6"/>
      <c r="N872" s="6"/>
      <c r="O872" s="6"/>
      <c r="P872" s="6"/>
      <c r="R872" s="5"/>
      <c r="S872" s="6"/>
      <c r="T872" s="6"/>
      <c r="U872" s="6"/>
      <c r="V872" s="6"/>
      <c r="W872" s="6"/>
      <c r="X872" s="6"/>
    </row>
    <row r="873" spans="13:24" x14ac:dyDescent="0.3">
      <c r="M873" s="6"/>
      <c r="N873" s="6"/>
      <c r="O873" s="6"/>
      <c r="P873" s="6"/>
      <c r="R873" s="5"/>
      <c r="S873" s="6"/>
      <c r="T873" s="6"/>
      <c r="U873" s="6"/>
      <c r="V873" s="6"/>
      <c r="W873" s="6"/>
      <c r="X873" s="6"/>
    </row>
    <row r="874" spans="13:24" x14ac:dyDescent="0.3">
      <c r="M874" s="6"/>
      <c r="N874" s="6"/>
      <c r="O874" s="6"/>
      <c r="P874" s="6"/>
      <c r="R874" s="5"/>
      <c r="S874" s="6"/>
      <c r="T874" s="6"/>
      <c r="U874" s="6"/>
      <c r="V874" s="6"/>
      <c r="W874" s="6"/>
      <c r="X874" s="6"/>
    </row>
    <row r="875" spans="13:24" x14ac:dyDescent="0.3">
      <c r="M875" s="6"/>
      <c r="N875" s="6"/>
      <c r="O875" s="6"/>
      <c r="P875" s="6"/>
      <c r="R875" s="5"/>
      <c r="S875" s="6"/>
      <c r="T875" s="6"/>
      <c r="U875" s="6"/>
      <c r="V875" s="6"/>
      <c r="W875" s="6"/>
      <c r="X875" s="6"/>
    </row>
    <row r="876" spans="13:24" x14ac:dyDescent="0.3">
      <c r="M876" s="6"/>
      <c r="N876" s="6"/>
      <c r="O876" s="6"/>
      <c r="P876" s="6"/>
      <c r="R876" s="5"/>
      <c r="S876" s="6"/>
      <c r="T876" s="6"/>
      <c r="U876" s="6"/>
      <c r="V876" s="6"/>
      <c r="W876" s="6"/>
      <c r="X876" s="6"/>
    </row>
    <row r="877" spans="13:24" x14ac:dyDescent="0.3">
      <c r="M877" s="6"/>
      <c r="N877" s="6"/>
      <c r="O877" s="6"/>
      <c r="P877" s="6"/>
      <c r="R877" s="5"/>
      <c r="S877" s="6"/>
      <c r="T877" s="6"/>
      <c r="U877" s="6"/>
      <c r="V877" s="6"/>
      <c r="W877" s="6"/>
      <c r="X877" s="6"/>
    </row>
    <row r="878" spans="13:24" x14ac:dyDescent="0.3">
      <c r="M878" s="6"/>
      <c r="N878" s="6"/>
      <c r="O878" s="6"/>
      <c r="P878" s="6"/>
      <c r="R878" s="5"/>
      <c r="S878" s="6"/>
      <c r="T878" s="6"/>
      <c r="U878" s="6"/>
      <c r="V878" s="6"/>
      <c r="W878" s="6"/>
      <c r="X878" s="6"/>
    </row>
    <row r="879" spans="13:24" x14ac:dyDescent="0.3">
      <c r="M879" s="6"/>
      <c r="N879" s="6"/>
      <c r="O879" s="6"/>
      <c r="P879" s="6"/>
      <c r="R879" s="5"/>
      <c r="S879" s="6"/>
      <c r="T879" s="6"/>
      <c r="U879" s="6"/>
      <c r="V879" s="6"/>
      <c r="W879" s="6"/>
      <c r="X879" s="6"/>
    </row>
    <row r="880" spans="13:24" x14ac:dyDescent="0.3">
      <c r="M880" s="6"/>
      <c r="N880" s="6"/>
      <c r="O880" s="6"/>
      <c r="P880" s="6"/>
      <c r="R880" s="5"/>
      <c r="S880" s="6"/>
      <c r="T880" s="6"/>
      <c r="U880" s="6"/>
      <c r="V880" s="6"/>
      <c r="W880" s="6"/>
      <c r="X880" s="6"/>
    </row>
    <row r="881" spans="13:24" x14ac:dyDescent="0.3">
      <c r="M881" s="6"/>
      <c r="N881" s="6"/>
      <c r="O881" s="6"/>
      <c r="P881" s="6"/>
      <c r="R881" s="5"/>
      <c r="S881" s="6"/>
      <c r="T881" s="6"/>
      <c r="U881" s="6"/>
      <c r="V881" s="6"/>
      <c r="W881" s="6"/>
      <c r="X881" s="6"/>
    </row>
    <row r="882" spans="13:24" x14ac:dyDescent="0.3">
      <c r="M882" s="6"/>
      <c r="N882" s="6"/>
      <c r="O882" s="6"/>
      <c r="P882" s="6"/>
      <c r="R882" s="5"/>
      <c r="S882" s="6"/>
      <c r="T882" s="6"/>
      <c r="U882" s="6"/>
      <c r="V882" s="6"/>
      <c r="W882" s="6"/>
      <c r="X882" s="6"/>
    </row>
    <row r="883" spans="13:24" x14ac:dyDescent="0.3">
      <c r="M883" s="6"/>
      <c r="N883" s="6"/>
      <c r="O883" s="6"/>
      <c r="P883" s="6"/>
      <c r="R883" s="5"/>
      <c r="S883" s="6"/>
      <c r="T883" s="6"/>
      <c r="U883" s="6"/>
      <c r="V883" s="6"/>
      <c r="W883" s="6"/>
      <c r="X883" s="6"/>
    </row>
    <row r="884" spans="13:24" x14ac:dyDescent="0.3">
      <c r="M884" s="6"/>
      <c r="N884" s="6"/>
      <c r="O884" s="6"/>
      <c r="P884" s="6"/>
      <c r="R884" s="5"/>
      <c r="S884" s="6"/>
      <c r="T884" s="6"/>
      <c r="U884" s="6"/>
      <c r="V884" s="6"/>
      <c r="W884" s="6"/>
      <c r="X884" s="6"/>
    </row>
    <row r="885" spans="13:24" x14ac:dyDescent="0.3">
      <c r="M885" s="6"/>
      <c r="N885" s="6"/>
      <c r="O885" s="6"/>
      <c r="P885" s="6"/>
      <c r="R885" s="5"/>
      <c r="S885" s="6"/>
      <c r="T885" s="6"/>
      <c r="U885" s="6"/>
      <c r="V885" s="6"/>
      <c r="W885" s="6"/>
      <c r="X885" s="6"/>
    </row>
    <row r="886" spans="13:24" x14ac:dyDescent="0.3">
      <c r="M886" s="6"/>
      <c r="N886" s="6"/>
      <c r="O886" s="6"/>
      <c r="P886" s="6"/>
      <c r="R886" s="5"/>
      <c r="S886" s="6"/>
      <c r="T886" s="6"/>
      <c r="U886" s="6"/>
      <c r="V886" s="6"/>
      <c r="W886" s="6"/>
      <c r="X886" s="6"/>
    </row>
    <row r="887" spans="13:24" x14ac:dyDescent="0.3">
      <c r="M887" s="6"/>
      <c r="N887" s="6"/>
      <c r="O887" s="6"/>
      <c r="P887" s="6"/>
      <c r="R887" s="6"/>
      <c r="S887" s="6"/>
      <c r="T887" s="6"/>
      <c r="U887" s="6"/>
      <c r="V887" s="6"/>
      <c r="W887" s="6"/>
      <c r="X887" s="6"/>
    </row>
    <row r="888" spans="13:24" x14ac:dyDescent="0.3">
      <c r="M888" s="6"/>
      <c r="N888" s="6"/>
      <c r="O888" s="6"/>
      <c r="P888" s="6"/>
      <c r="R888" s="6"/>
      <c r="S888" s="6"/>
      <c r="T888" s="6"/>
      <c r="U888" s="6"/>
      <c r="V888" s="6"/>
      <c r="W888" s="6"/>
      <c r="X888" s="6"/>
    </row>
    <row r="889" spans="13:24" x14ac:dyDescent="0.3">
      <c r="M889" s="6"/>
      <c r="N889" s="6"/>
      <c r="O889" s="6"/>
      <c r="P889" s="6"/>
      <c r="R889" s="6"/>
      <c r="S889" s="6"/>
      <c r="T889" s="6"/>
      <c r="U889" s="6"/>
      <c r="V889" s="6"/>
      <c r="W889" s="6"/>
      <c r="X889" s="6"/>
    </row>
    <row r="890" spans="13:24" x14ac:dyDescent="0.3">
      <c r="M890" s="6"/>
      <c r="N890" s="6"/>
      <c r="O890" s="6"/>
      <c r="P890" s="6"/>
      <c r="R890" s="6"/>
      <c r="S890" s="6"/>
      <c r="T890" s="6"/>
      <c r="U890" s="6"/>
      <c r="V890" s="6"/>
      <c r="W890" s="6"/>
      <c r="X890" s="6"/>
    </row>
    <row r="891" spans="13:24" x14ac:dyDescent="0.3">
      <c r="M891" s="6"/>
      <c r="N891" s="6"/>
      <c r="O891" s="6"/>
      <c r="P891" s="6"/>
      <c r="R891" s="6"/>
      <c r="S891" s="6"/>
      <c r="T891" s="6"/>
      <c r="U891" s="6"/>
      <c r="V891" s="6"/>
      <c r="W891" s="6"/>
      <c r="X891" s="6"/>
    </row>
    <row r="892" spans="13:24" x14ac:dyDescent="0.3">
      <c r="M892" s="6"/>
      <c r="N892" s="6"/>
      <c r="O892" s="6"/>
      <c r="P892" s="6"/>
      <c r="R892" s="6"/>
      <c r="S892" s="6"/>
      <c r="T892" s="6"/>
      <c r="U892" s="6"/>
      <c r="V892" s="6"/>
      <c r="W892" s="6"/>
      <c r="X892" s="6"/>
    </row>
    <row r="893" spans="13:24" x14ac:dyDescent="0.3">
      <c r="M893" s="6"/>
      <c r="N893" s="6"/>
      <c r="O893" s="6"/>
      <c r="P893" s="6"/>
      <c r="R893" s="6"/>
      <c r="S893" s="6"/>
      <c r="T893" s="6"/>
      <c r="U893" s="6"/>
      <c r="V893" s="6"/>
      <c r="W893" s="6"/>
      <c r="X893" s="6"/>
    </row>
    <row r="894" spans="13:24" x14ac:dyDescent="0.3">
      <c r="M894" s="6"/>
      <c r="N894" s="6"/>
      <c r="O894" s="6"/>
      <c r="P894" s="6"/>
      <c r="R894" s="6"/>
      <c r="S894" s="6"/>
      <c r="T894" s="6"/>
      <c r="U894" s="6"/>
      <c r="V894" s="6"/>
      <c r="W894" s="6"/>
      <c r="X894" s="6"/>
    </row>
    <row r="895" spans="13:24" x14ac:dyDescent="0.3">
      <c r="M895" s="6"/>
      <c r="N895" s="6"/>
      <c r="O895" s="6"/>
      <c r="P895" s="6"/>
      <c r="R895" s="6"/>
      <c r="S895" s="6"/>
      <c r="T895" s="6"/>
      <c r="U895" s="6"/>
      <c r="V895" s="6"/>
      <c r="W895" s="6"/>
      <c r="X895" s="6"/>
    </row>
    <row r="896" spans="13:24" x14ac:dyDescent="0.3">
      <c r="M896" s="6"/>
      <c r="N896" s="6"/>
      <c r="O896" s="6"/>
      <c r="P896" s="6"/>
      <c r="R896" s="6"/>
      <c r="S896" s="6"/>
      <c r="T896" s="6"/>
      <c r="U896" s="6"/>
      <c r="V896" s="6"/>
      <c r="W896" s="6"/>
      <c r="X896" s="6"/>
    </row>
    <row r="897" spans="13:24" x14ac:dyDescent="0.3">
      <c r="M897" s="6"/>
      <c r="N897" s="6"/>
      <c r="O897" s="6"/>
      <c r="P897" s="6"/>
      <c r="R897" s="6"/>
      <c r="S897" s="6"/>
      <c r="T897" s="6"/>
      <c r="U897" s="6"/>
      <c r="V897" s="6"/>
      <c r="W897" s="6"/>
      <c r="X897" s="6"/>
    </row>
    <row r="898" spans="13:24" x14ac:dyDescent="0.3">
      <c r="M898" s="6"/>
      <c r="N898" s="6"/>
      <c r="O898" s="6"/>
      <c r="P898" s="6"/>
      <c r="R898" s="6"/>
      <c r="S898" s="6"/>
      <c r="T898" s="6"/>
      <c r="U898" s="6"/>
      <c r="V898" s="6"/>
      <c r="W898" s="6"/>
      <c r="X898" s="6"/>
    </row>
    <row r="899" spans="13:24" x14ac:dyDescent="0.3">
      <c r="M899" s="6"/>
      <c r="N899" s="6"/>
      <c r="O899" s="6"/>
      <c r="P899" s="6"/>
      <c r="R899" s="6"/>
      <c r="S899" s="6"/>
      <c r="T899" s="6"/>
      <c r="U899" s="6"/>
      <c r="V899" s="6"/>
      <c r="W899" s="6"/>
      <c r="X899" s="6"/>
    </row>
    <row r="900" spans="13:24" x14ac:dyDescent="0.3">
      <c r="M900" s="6"/>
      <c r="N900" s="6"/>
      <c r="O900" s="6"/>
      <c r="P900" s="6"/>
      <c r="R900" s="6"/>
      <c r="S900" s="6"/>
      <c r="T900" s="6"/>
      <c r="U900" s="6"/>
      <c r="V900" s="6"/>
      <c r="W900" s="6"/>
      <c r="X900" s="6"/>
    </row>
    <row r="901" spans="13:24" x14ac:dyDescent="0.3">
      <c r="M901" s="6"/>
      <c r="N901" s="6"/>
      <c r="O901" s="6"/>
      <c r="P901" s="6"/>
      <c r="R901" s="6"/>
      <c r="S901" s="6"/>
      <c r="T901" s="6"/>
      <c r="U901" s="6"/>
      <c r="V901" s="6"/>
      <c r="W901" s="6"/>
      <c r="X901" s="6"/>
    </row>
    <row r="902" spans="13:24" x14ac:dyDescent="0.3">
      <c r="M902" s="6"/>
      <c r="N902" s="6"/>
      <c r="O902" s="6"/>
      <c r="P902" s="6"/>
      <c r="R902" s="6"/>
      <c r="S902" s="6"/>
      <c r="T902" s="6"/>
      <c r="U902" s="6"/>
      <c r="V902" s="6"/>
      <c r="W902" s="6"/>
      <c r="X902" s="6"/>
    </row>
    <row r="903" spans="13:24" x14ac:dyDescent="0.3">
      <c r="M903" s="6"/>
      <c r="N903" s="6"/>
      <c r="O903" s="6"/>
      <c r="P903" s="6"/>
      <c r="R903" s="6"/>
      <c r="S903" s="6"/>
      <c r="T903" s="6"/>
      <c r="U903" s="6"/>
      <c r="V903" s="6"/>
      <c r="W903" s="6"/>
      <c r="X903" s="6"/>
    </row>
    <row r="904" spans="13:24" x14ac:dyDescent="0.3">
      <c r="M904" s="6"/>
      <c r="N904" s="6"/>
      <c r="O904" s="6"/>
      <c r="P904" s="6"/>
      <c r="R904" s="6"/>
      <c r="S904" s="6"/>
      <c r="T904" s="6"/>
      <c r="U904" s="6"/>
      <c r="V904" s="6"/>
      <c r="W904" s="6"/>
      <c r="X904" s="6"/>
    </row>
    <row r="905" spans="13:24" x14ac:dyDescent="0.3">
      <c r="M905" s="6"/>
      <c r="N905" s="6"/>
      <c r="O905" s="6"/>
      <c r="P905" s="6"/>
      <c r="R905" s="6"/>
      <c r="S905" s="6"/>
      <c r="T905" s="6"/>
      <c r="U905" s="6"/>
      <c r="V905" s="6"/>
      <c r="W905" s="6"/>
      <c r="X905" s="6"/>
    </row>
    <row r="906" spans="13:24" x14ac:dyDescent="0.3">
      <c r="M906" s="6"/>
      <c r="N906" s="6"/>
      <c r="O906" s="6"/>
      <c r="P906" s="6"/>
      <c r="R906" s="6"/>
      <c r="S906" s="6"/>
      <c r="T906" s="6"/>
      <c r="U906" s="6"/>
      <c r="V906" s="6"/>
      <c r="W906" s="6"/>
      <c r="X906" s="6"/>
    </row>
    <row r="907" spans="13:24" x14ac:dyDescent="0.3">
      <c r="M907" s="6"/>
      <c r="N907" s="6"/>
      <c r="O907" s="6"/>
      <c r="P907" s="6"/>
      <c r="R907" s="6"/>
      <c r="S907" s="6"/>
      <c r="T907" s="6"/>
      <c r="U907" s="6"/>
      <c r="V907" s="6"/>
      <c r="W907" s="6"/>
      <c r="X907" s="6"/>
    </row>
    <row r="908" spans="13:24" x14ac:dyDescent="0.3">
      <c r="M908" s="6"/>
      <c r="N908" s="6"/>
      <c r="O908" s="6"/>
      <c r="P908" s="6"/>
      <c r="R908" s="6"/>
      <c r="S908" s="6"/>
      <c r="T908" s="6"/>
      <c r="U908" s="6"/>
      <c r="V908" s="6"/>
      <c r="W908" s="6"/>
      <c r="X908" s="6"/>
    </row>
    <row r="909" spans="13:24" x14ac:dyDescent="0.3">
      <c r="M909" s="6"/>
      <c r="N909" s="6"/>
      <c r="O909" s="6"/>
      <c r="P909" s="6"/>
      <c r="R909" s="6"/>
      <c r="S909" s="6"/>
      <c r="T909" s="6"/>
      <c r="U909" s="6"/>
      <c r="V909" s="6"/>
      <c r="W909" s="6"/>
      <c r="X909" s="6"/>
    </row>
    <row r="910" spans="13:24" x14ac:dyDescent="0.3">
      <c r="M910" s="6"/>
      <c r="N910" s="6"/>
      <c r="O910" s="6"/>
      <c r="P910" s="6"/>
      <c r="R910" s="6"/>
      <c r="S910" s="6"/>
      <c r="T910" s="6"/>
      <c r="U910" s="6"/>
      <c r="V910" s="6"/>
      <c r="W910" s="6"/>
      <c r="X910" s="6"/>
    </row>
    <row r="911" spans="13:24" x14ac:dyDescent="0.3">
      <c r="M911" s="6"/>
      <c r="N911" s="6"/>
      <c r="O911" s="6"/>
      <c r="P911" s="6"/>
      <c r="R911" s="6"/>
      <c r="S911" s="6"/>
      <c r="T911" s="6"/>
      <c r="U911" s="6"/>
      <c r="V911" s="6"/>
      <c r="W911" s="6"/>
      <c r="X911" s="6"/>
    </row>
    <row r="912" spans="13:24" x14ac:dyDescent="0.3">
      <c r="M912" s="6"/>
      <c r="N912" s="6"/>
      <c r="O912" s="6"/>
      <c r="P912" s="6"/>
      <c r="R912" s="6"/>
      <c r="S912" s="6"/>
      <c r="T912" s="6"/>
      <c r="U912" s="6"/>
      <c r="V912" s="6"/>
      <c r="W912" s="6"/>
      <c r="X912" s="6"/>
    </row>
    <row r="913" spans="13:24" x14ac:dyDescent="0.3">
      <c r="M913" s="6"/>
      <c r="N913" s="6"/>
      <c r="O913" s="6"/>
      <c r="P913" s="6"/>
      <c r="R913" s="6"/>
      <c r="S913" s="6"/>
      <c r="T913" s="6"/>
      <c r="U913" s="6"/>
      <c r="V913" s="6"/>
      <c r="W913" s="6"/>
      <c r="X913" s="6"/>
    </row>
    <row r="914" spans="13:24" x14ac:dyDescent="0.3">
      <c r="M914" s="6"/>
      <c r="N914" s="6"/>
      <c r="O914" s="6"/>
      <c r="P914" s="6"/>
      <c r="R914" s="6"/>
      <c r="S914" s="6"/>
      <c r="T914" s="6"/>
      <c r="U914" s="6"/>
      <c r="V914" s="6"/>
      <c r="W914" s="6"/>
      <c r="X914" s="6"/>
    </row>
    <row r="915" spans="13:24" x14ac:dyDescent="0.3">
      <c r="M915" s="6"/>
      <c r="N915" s="6"/>
      <c r="O915" s="6"/>
      <c r="P915" s="6"/>
      <c r="R915" s="6"/>
      <c r="S915" s="6"/>
      <c r="T915" s="6"/>
      <c r="U915" s="6"/>
      <c r="V915" s="6"/>
      <c r="W915" s="6"/>
      <c r="X915" s="6"/>
    </row>
    <row r="916" spans="13:24" x14ac:dyDescent="0.3">
      <c r="M916" s="6"/>
      <c r="N916" s="6"/>
      <c r="O916" s="6"/>
      <c r="P916" s="6"/>
      <c r="R916" s="6"/>
      <c r="S916" s="6"/>
      <c r="T916" s="6"/>
      <c r="U916" s="6"/>
      <c r="V916" s="6"/>
      <c r="W916" s="6"/>
      <c r="X916" s="6"/>
    </row>
    <row r="917" spans="13:24" x14ac:dyDescent="0.3">
      <c r="M917" s="6"/>
      <c r="N917" s="6"/>
      <c r="O917" s="6"/>
      <c r="P917" s="6"/>
      <c r="R917" s="6"/>
      <c r="S917" s="6"/>
      <c r="T917" s="6"/>
      <c r="U917" s="6"/>
      <c r="V917" s="6"/>
      <c r="W917" s="6"/>
      <c r="X917" s="6"/>
    </row>
    <row r="918" spans="13:24" x14ac:dyDescent="0.3">
      <c r="M918" s="6"/>
      <c r="N918" s="6"/>
      <c r="O918" s="6"/>
      <c r="P918" s="6"/>
      <c r="R918" s="6"/>
      <c r="S918" s="6"/>
      <c r="T918" s="6"/>
      <c r="U918" s="6"/>
      <c r="V918" s="6"/>
      <c r="W918" s="6"/>
      <c r="X918" s="6"/>
    </row>
    <row r="919" spans="13:24" x14ac:dyDescent="0.3">
      <c r="M919" s="6"/>
      <c r="N919" s="6"/>
      <c r="O919" s="6"/>
      <c r="P919" s="6"/>
      <c r="R919" s="6"/>
      <c r="S919" s="6"/>
      <c r="T919" s="6"/>
      <c r="U919" s="6"/>
      <c r="V919" s="6"/>
      <c r="W919" s="6"/>
      <c r="X919" s="6"/>
    </row>
    <row r="920" spans="13:24" x14ac:dyDescent="0.3">
      <c r="M920" s="6"/>
      <c r="N920" s="6"/>
      <c r="O920" s="6"/>
      <c r="P920" s="6"/>
      <c r="R920" s="6"/>
      <c r="S920" s="6"/>
      <c r="T920" s="6"/>
      <c r="U920" s="6"/>
      <c r="V920" s="6"/>
      <c r="W920" s="6"/>
      <c r="X920" s="6"/>
    </row>
    <row r="921" spans="13:24" x14ac:dyDescent="0.3">
      <c r="M921" s="6"/>
      <c r="N921" s="6"/>
      <c r="O921" s="6"/>
      <c r="P921" s="6"/>
      <c r="R921" s="6"/>
      <c r="S921" s="6"/>
      <c r="T921" s="6"/>
      <c r="U921" s="6"/>
      <c r="V921" s="6"/>
      <c r="W921" s="6"/>
      <c r="X921" s="6"/>
    </row>
    <row r="922" spans="13:24" x14ac:dyDescent="0.3">
      <c r="M922" s="6"/>
      <c r="N922" s="6"/>
      <c r="O922" s="6"/>
      <c r="P922" s="6"/>
      <c r="R922" s="6"/>
      <c r="S922" s="6"/>
      <c r="T922" s="6"/>
      <c r="U922" s="6"/>
      <c r="V922" s="6"/>
      <c r="W922" s="6"/>
      <c r="X922" s="6"/>
    </row>
    <row r="923" spans="13:24" x14ac:dyDescent="0.3">
      <c r="M923" s="6"/>
      <c r="N923" s="6"/>
      <c r="O923" s="6"/>
      <c r="P923" s="6"/>
      <c r="R923" s="6"/>
      <c r="S923" s="6"/>
      <c r="T923" s="6"/>
      <c r="U923" s="6"/>
      <c r="V923" s="6"/>
      <c r="W923" s="6"/>
      <c r="X923" s="6"/>
    </row>
    <row r="924" spans="13:24" x14ac:dyDescent="0.3">
      <c r="M924" s="6"/>
      <c r="N924" s="6"/>
      <c r="O924" s="6"/>
      <c r="P924" s="6"/>
      <c r="R924" s="6"/>
      <c r="S924" s="6"/>
      <c r="T924" s="6"/>
      <c r="U924" s="6"/>
      <c r="V924" s="6"/>
      <c r="W924" s="6"/>
      <c r="X924" s="6"/>
    </row>
    <row r="925" spans="13:24" x14ac:dyDescent="0.3">
      <c r="M925" s="6"/>
      <c r="N925" s="6"/>
      <c r="O925" s="6"/>
      <c r="P925" s="6"/>
      <c r="R925" s="6"/>
      <c r="S925" s="6"/>
      <c r="T925" s="6"/>
      <c r="U925" s="6"/>
      <c r="V925" s="6"/>
      <c r="W925" s="6"/>
      <c r="X925" s="6"/>
    </row>
    <row r="926" spans="13:24" x14ac:dyDescent="0.3">
      <c r="M926" s="6"/>
      <c r="N926" s="6"/>
      <c r="O926" s="6"/>
      <c r="P926" s="6"/>
      <c r="R926" s="6"/>
      <c r="S926" s="6"/>
      <c r="T926" s="6"/>
      <c r="U926" s="6"/>
      <c r="V926" s="6"/>
      <c r="W926" s="6"/>
      <c r="X926" s="6"/>
    </row>
    <row r="927" spans="13:24" x14ac:dyDescent="0.3">
      <c r="M927" s="6"/>
      <c r="N927" s="6"/>
      <c r="O927" s="6"/>
      <c r="P927" s="6"/>
      <c r="R927" s="6"/>
      <c r="S927" s="6"/>
      <c r="T927" s="6"/>
      <c r="U927" s="6"/>
      <c r="V927" s="6"/>
      <c r="W927" s="6"/>
      <c r="X927" s="6"/>
    </row>
    <row r="928" spans="13:24" x14ac:dyDescent="0.3">
      <c r="M928" s="6"/>
      <c r="N928" s="6"/>
      <c r="O928" s="6"/>
      <c r="P928" s="6"/>
      <c r="R928" s="6"/>
      <c r="S928" s="6"/>
      <c r="T928" s="6"/>
      <c r="U928" s="6"/>
      <c r="V928" s="6"/>
      <c r="W928" s="6"/>
      <c r="X928" s="6"/>
    </row>
    <row r="929" spans="13:24" x14ac:dyDescent="0.3">
      <c r="M929" s="6"/>
      <c r="N929" s="6"/>
      <c r="O929" s="6"/>
      <c r="P929" s="6"/>
      <c r="R929" s="6"/>
      <c r="S929" s="6"/>
      <c r="T929" s="6"/>
      <c r="U929" s="6"/>
      <c r="V929" s="6"/>
      <c r="W929" s="6"/>
      <c r="X929" s="6"/>
    </row>
    <row r="930" spans="13:24" x14ac:dyDescent="0.3">
      <c r="M930" s="6"/>
      <c r="N930" s="6"/>
      <c r="O930" s="6"/>
      <c r="P930" s="6"/>
      <c r="R930" s="6"/>
      <c r="S930" s="6"/>
      <c r="T930" s="6"/>
      <c r="U930" s="6"/>
      <c r="V930" s="6"/>
      <c r="W930" s="6"/>
      <c r="X930" s="6"/>
    </row>
    <row r="931" spans="13:24" x14ac:dyDescent="0.3">
      <c r="M931" s="6"/>
      <c r="N931" s="6"/>
      <c r="O931" s="6"/>
      <c r="P931" s="6"/>
      <c r="R931" s="6"/>
      <c r="S931" s="6"/>
      <c r="T931" s="6"/>
      <c r="U931" s="6"/>
      <c r="V931" s="6"/>
      <c r="W931" s="6"/>
      <c r="X931" s="6"/>
    </row>
    <row r="932" spans="13:24" x14ac:dyDescent="0.3">
      <c r="M932" s="6"/>
      <c r="N932" s="6"/>
      <c r="O932" s="6"/>
      <c r="P932" s="6"/>
      <c r="R932" s="6"/>
      <c r="S932" s="6"/>
      <c r="T932" s="6"/>
      <c r="U932" s="6"/>
      <c r="V932" s="6"/>
      <c r="W932" s="6"/>
      <c r="X932" s="6"/>
    </row>
    <row r="933" spans="13:24" x14ac:dyDescent="0.3">
      <c r="M933" s="6"/>
      <c r="N933" s="6"/>
      <c r="O933" s="6"/>
      <c r="P933" s="6"/>
      <c r="R933" s="6"/>
      <c r="S933" s="6"/>
      <c r="T933" s="6"/>
      <c r="U933" s="6"/>
      <c r="V933" s="6"/>
      <c r="W933" s="6"/>
      <c r="X933" s="6"/>
    </row>
    <row r="934" spans="13:24" x14ac:dyDescent="0.3">
      <c r="M934" s="6"/>
      <c r="N934" s="6"/>
      <c r="O934" s="6"/>
      <c r="P934" s="6"/>
      <c r="R934" s="6"/>
      <c r="S934" s="6"/>
      <c r="T934" s="6"/>
      <c r="U934" s="6"/>
      <c r="V934" s="6"/>
      <c r="W934" s="6"/>
      <c r="X934" s="6"/>
    </row>
    <row r="935" spans="13:24" x14ac:dyDescent="0.3">
      <c r="M935" s="6"/>
      <c r="N935" s="6"/>
      <c r="O935" s="6"/>
      <c r="P935" s="6"/>
      <c r="R935" s="6"/>
      <c r="S935" s="6"/>
      <c r="T935" s="6"/>
      <c r="U935" s="6"/>
      <c r="V935" s="6"/>
      <c r="W935" s="6"/>
      <c r="X935" s="6"/>
    </row>
    <row r="936" spans="13:24" x14ac:dyDescent="0.3">
      <c r="M936" s="6"/>
      <c r="N936" s="6"/>
      <c r="O936" s="6"/>
      <c r="P936" s="6"/>
      <c r="R936" s="6"/>
      <c r="S936" s="6"/>
      <c r="T936" s="6"/>
      <c r="U936" s="6"/>
      <c r="V936" s="6"/>
      <c r="W936" s="6"/>
      <c r="X936" s="6"/>
    </row>
    <row r="937" spans="13:24" x14ac:dyDescent="0.3">
      <c r="M937" s="6"/>
      <c r="N937" s="6"/>
      <c r="O937" s="6"/>
      <c r="P937" s="6"/>
      <c r="R937" s="6"/>
      <c r="S937" s="6"/>
      <c r="T937" s="6"/>
      <c r="U937" s="6"/>
      <c r="V937" s="6"/>
      <c r="W937" s="6"/>
      <c r="X937" s="6"/>
    </row>
    <row r="938" spans="13:24" x14ac:dyDescent="0.3">
      <c r="M938" s="6"/>
      <c r="N938" s="6"/>
      <c r="O938" s="6"/>
      <c r="P938" s="6"/>
      <c r="R938" s="6"/>
      <c r="S938" s="6"/>
      <c r="T938" s="6"/>
      <c r="U938" s="6"/>
      <c r="V938" s="6"/>
      <c r="W938" s="6"/>
      <c r="X938" s="6"/>
    </row>
    <row r="939" spans="13:24" x14ac:dyDescent="0.3">
      <c r="M939" s="6"/>
      <c r="N939" s="6"/>
      <c r="O939" s="6"/>
      <c r="P939" s="6"/>
      <c r="R939" s="6"/>
      <c r="S939" s="6"/>
      <c r="T939" s="6"/>
      <c r="U939" s="6"/>
      <c r="V939" s="6"/>
      <c r="W939" s="6"/>
      <c r="X939" s="6"/>
    </row>
    <row r="940" spans="13:24" x14ac:dyDescent="0.3">
      <c r="M940" s="6"/>
      <c r="N940" s="6"/>
      <c r="O940" s="6"/>
      <c r="P940" s="6"/>
      <c r="R940" s="6"/>
      <c r="S940" s="6"/>
      <c r="T940" s="6"/>
      <c r="U940" s="6"/>
      <c r="V940" s="6"/>
      <c r="W940" s="6"/>
      <c r="X940" s="6"/>
    </row>
    <row r="941" spans="13:24" x14ac:dyDescent="0.3">
      <c r="M941" s="6"/>
      <c r="N941" s="6"/>
      <c r="O941" s="6"/>
      <c r="P941" s="6"/>
      <c r="R941" s="6"/>
      <c r="S941" s="6"/>
      <c r="T941" s="6"/>
      <c r="U941" s="6"/>
      <c r="V941" s="6"/>
      <c r="W941" s="6"/>
      <c r="X941" s="6"/>
    </row>
    <row r="942" spans="13:24" x14ac:dyDescent="0.3">
      <c r="M942" s="6"/>
      <c r="N942" s="6"/>
      <c r="O942" s="6"/>
      <c r="P942" s="6"/>
      <c r="R942" s="6"/>
      <c r="S942" s="6"/>
      <c r="T942" s="6"/>
      <c r="U942" s="6"/>
      <c r="V942" s="6"/>
      <c r="W942" s="6"/>
      <c r="X942" s="6"/>
    </row>
    <row r="943" spans="13:24" x14ac:dyDescent="0.3">
      <c r="M943" s="6"/>
      <c r="N943" s="6"/>
      <c r="O943" s="6"/>
      <c r="P943" s="6"/>
      <c r="R943" s="6"/>
      <c r="S943" s="6"/>
      <c r="T943" s="6"/>
      <c r="U943" s="6"/>
      <c r="V943" s="6"/>
      <c r="W943" s="6"/>
      <c r="X943" s="6"/>
    </row>
    <row r="944" spans="13:24" x14ac:dyDescent="0.3">
      <c r="M944" s="6"/>
      <c r="N944" s="6"/>
      <c r="O944" s="6"/>
      <c r="P944" s="6"/>
      <c r="R944" s="6"/>
      <c r="S944" s="6"/>
      <c r="T944" s="6"/>
      <c r="U944" s="6"/>
      <c r="V944" s="6"/>
      <c r="W944" s="6"/>
      <c r="X944" s="6"/>
    </row>
    <row r="945" spans="13:24" x14ac:dyDescent="0.3">
      <c r="M945" s="6"/>
      <c r="N945" s="6"/>
      <c r="O945" s="6"/>
      <c r="P945" s="6"/>
      <c r="R945" s="6"/>
      <c r="S945" s="6"/>
      <c r="T945" s="6"/>
      <c r="U945" s="6"/>
      <c r="V945" s="6"/>
      <c r="W945" s="6"/>
      <c r="X945" s="6"/>
    </row>
    <row r="946" spans="13:24" x14ac:dyDescent="0.3">
      <c r="M946" s="6"/>
      <c r="N946" s="6"/>
      <c r="O946" s="6"/>
      <c r="P946" s="6"/>
      <c r="R946" s="6"/>
      <c r="S946" s="6"/>
      <c r="T946" s="6"/>
      <c r="U946" s="6"/>
      <c r="V946" s="6"/>
      <c r="W946" s="6"/>
      <c r="X946" s="6"/>
    </row>
    <row r="947" spans="13:24" x14ac:dyDescent="0.3">
      <c r="M947" s="6"/>
      <c r="N947" s="6"/>
      <c r="O947" s="6"/>
      <c r="P947" s="6"/>
      <c r="R947" s="6"/>
      <c r="S947" s="6"/>
      <c r="T947" s="6"/>
      <c r="U947" s="6"/>
      <c r="V947" s="6"/>
      <c r="W947" s="6"/>
      <c r="X947" s="6"/>
    </row>
    <row r="948" spans="13:24" x14ac:dyDescent="0.3">
      <c r="M948" s="6"/>
      <c r="N948" s="6"/>
      <c r="O948" s="6"/>
      <c r="P948" s="6"/>
      <c r="R948" s="6"/>
      <c r="S948" s="6"/>
      <c r="T948" s="6"/>
      <c r="U948" s="6"/>
      <c r="V948" s="6"/>
      <c r="W948" s="6"/>
      <c r="X948" s="6"/>
    </row>
    <row r="949" spans="13:24" x14ac:dyDescent="0.3">
      <c r="M949" s="6"/>
      <c r="N949" s="6"/>
      <c r="O949" s="6"/>
      <c r="P949" s="6"/>
      <c r="R949" s="6"/>
      <c r="S949" s="6"/>
      <c r="T949" s="6"/>
      <c r="U949" s="6"/>
      <c r="V949" s="6"/>
      <c r="W949" s="6"/>
      <c r="X949" s="6"/>
    </row>
    <row r="950" spans="13:24" x14ac:dyDescent="0.3">
      <c r="M950" s="6"/>
      <c r="N950" s="6"/>
      <c r="O950" s="6"/>
      <c r="P950" s="6"/>
      <c r="R950" s="6"/>
      <c r="S950" s="6"/>
      <c r="T950" s="6"/>
      <c r="U950" s="6"/>
      <c r="V950" s="6"/>
      <c r="W950" s="6"/>
      <c r="X950" s="6"/>
    </row>
    <row r="951" spans="13:24" x14ac:dyDescent="0.3">
      <c r="M951" s="6"/>
      <c r="N951" s="6"/>
      <c r="O951" s="6"/>
      <c r="P951" s="6"/>
      <c r="R951" s="6"/>
      <c r="S951" s="6"/>
      <c r="T951" s="6"/>
      <c r="U951" s="6"/>
      <c r="V951" s="6"/>
      <c r="W951" s="6"/>
      <c r="X951" s="6"/>
    </row>
    <row r="952" spans="13:24" x14ac:dyDescent="0.3">
      <c r="M952" s="6"/>
      <c r="N952" s="6"/>
      <c r="O952" s="6"/>
      <c r="P952" s="6"/>
      <c r="R952" s="6"/>
      <c r="S952" s="6"/>
      <c r="T952" s="6"/>
      <c r="U952" s="6"/>
      <c r="V952" s="6"/>
      <c r="W952" s="6"/>
      <c r="X952" s="6"/>
    </row>
    <row r="953" spans="13:24" x14ac:dyDescent="0.3">
      <c r="M953" s="6"/>
      <c r="N953" s="6"/>
      <c r="O953" s="6"/>
      <c r="P953" s="6"/>
      <c r="R953" s="6"/>
      <c r="S953" s="6"/>
      <c r="T953" s="6"/>
      <c r="U953" s="6"/>
      <c r="V953" s="6"/>
      <c r="W953" s="6"/>
      <c r="X953" s="6"/>
    </row>
    <row r="954" spans="13:24" x14ac:dyDescent="0.3">
      <c r="M954" s="6"/>
      <c r="N954" s="6"/>
      <c r="O954" s="6"/>
      <c r="P954" s="6"/>
      <c r="R954" s="6"/>
      <c r="S954" s="6"/>
      <c r="T954" s="6"/>
      <c r="U954" s="6"/>
      <c r="V954" s="6"/>
      <c r="W954" s="6"/>
      <c r="X954" s="6"/>
    </row>
    <row r="955" spans="13:24" x14ac:dyDescent="0.3">
      <c r="M955" s="6"/>
      <c r="N955" s="6"/>
      <c r="O955" s="6"/>
      <c r="P955" s="6"/>
      <c r="R955" s="6"/>
      <c r="S955" s="6"/>
      <c r="T955" s="6"/>
      <c r="U955" s="6"/>
      <c r="V955" s="6"/>
      <c r="W955" s="6"/>
      <c r="X955" s="6"/>
    </row>
    <row r="956" spans="13:24" x14ac:dyDescent="0.3">
      <c r="M956" s="6"/>
      <c r="N956" s="6"/>
      <c r="O956" s="6"/>
      <c r="P956" s="6"/>
      <c r="R956" s="6"/>
      <c r="S956" s="6"/>
      <c r="T956" s="6"/>
      <c r="U956" s="6"/>
      <c r="V956" s="6"/>
      <c r="W956" s="6"/>
      <c r="X956" s="6"/>
    </row>
    <row r="957" spans="13:24" x14ac:dyDescent="0.3">
      <c r="M957" s="6"/>
      <c r="N957" s="6"/>
      <c r="O957" s="6"/>
      <c r="P957" s="6"/>
      <c r="R957" s="6"/>
      <c r="S957" s="6"/>
      <c r="T957" s="6"/>
      <c r="U957" s="6"/>
      <c r="V957" s="6"/>
      <c r="W957" s="6"/>
      <c r="X957" s="6"/>
    </row>
    <row r="958" spans="13:24" x14ac:dyDescent="0.3">
      <c r="M958" s="6"/>
      <c r="N958" s="6"/>
      <c r="O958" s="6"/>
      <c r="P958" s="6"/>
      <c r="R958" s="6"/>
      <c r="S958" s="6"/>
      <c r="T958" s="6"/>
      <c r="U958" s="6"/>
      <c r="V958" s="6"/>
      <c r="W958" s="6"/>
      <c r="X958" s="6"/>
    </row>
    <row r="959" spans="13:24" x14ac:dyDescent="0.3">
      <c r="M959" s="6"/>
      <c r="N959" s="6"/>
      <c r="O959" s="6"/>
      <c r="P959" s="6"/>
      <c r="R959" s="6"/>
      <c r="S959" s="6"/>
      <c r="T959" s="6"/>
      <c r="U959" s="6"/>
      <c r="V959" s="6"/>
      <c r="W959" s="6"/>
      <c r="X959" s="6"/>
    </row>
    <row r="960" spans="13:24" x14ac:dyDescent="0.3">
      <c r="M960" s="6"/>
      <c r="N960" s="6"/>
      <c r="O960" s="6"/>
      <c r="P960" s="6"/>
      <c r="R960" s="6"/>
      <c r="S960" s="6"/>
      <c r="T960" s="6"/>
      <c r="U960" s="6"/>
      <c r="V960" s="6"/>
      <c r="W960" s="6"/>
      <c r="X960" s="6"/>
    </row>
    <row r="961" spans="13:24" x14ac:dyDescent="0.3">
      <c r="M961" s="6"/>
      <c r="N961" s="6"/>
      <c r="O961" s="6"/>
      <c r="P961" s="6"/>
      <c r="R961" s="6"/>
      <c r="S961" s="6"/>
      <c r="T961" s="6"/>
      <c r="U961" s="6"/>
      <c r="V961" s="6"/>
      <c r="W961" s="6"/>
      <c r="X961" s="6"/>
    </row>
    <row r="962" spans="13:24" x14ac:dyDescent="0.3">
      <c r="M962" s="6"/>
      <c r="N962" s="6"/>
      <c r="O962" s="6"/>
      <c r="P962" s="6"/>
      <c r="R962" s="6"/>
      <c r="S962" s="6"/>
      <c r="T962" s="6"/>
      <c r="U962" s="6"/>
      <c r="V962" s="6"/>
      <c r="W962" s="6"/>
      <c r="X962" s="6"/>
    </row>
    <row r="963" spans="13:24" x14ac:dyDescent="0.3">
      <c r="M963" s="6"/>
      <c r="N963" s="6"/>
      <c r="O963" s="6"/>
      <c r="P963" s="6"/>
      <c r="R963" s="6"/>
      <c r="S963" s="6"/>
      <c r="T963" s="6"/>
      <c r="U963" s="6"/>
      <c r="V963" s="6"/>
      <c r="W963" s="6"/>
      <c r="X963" s="6"/>
    </row>
    <row r="964" spans="13:24" x14ac:dyDescent="0.3">
      <c r="M964" s="6"/>
      <c r="N964" s="6"/>
      <c r="O964" s="6"/>
      <c r="P964" s="6"/>
      <c r="R964" s="6"/>
      <c r="S964" s="6"/>
      <c r="T964" s="6"/>
      <c r="U964" s="6"/>
      <c r="V964" s="6"/>
      <c r="W964" s="6"/>
      <c r="X964" s="6"/>
    </row>
    <row r="965" spans="13:24" x14ac:dyDescent="0.3">
      <c r="M965" s="6"/>
      <c r="N965" s="6"/>
      <c r="O965" s="6"/>
      <c r="P965" s="6"/>
      <c r="R965" s="6"/>
      <c r="S965" s="6"/>
      <c r="T965" s="6"/>
      <c r="U965" s="6"/>
      <c r="V965" s="6"/>
      <c r="W965" s="6"/>
      <c r="X965" s="6"/>
    </row>
    <row r="966" spans="13:24" x14ac:dyDescent="0.3">
      <c r="M966" s="6"/>
      <c r="N966" s="6"/>
      <c r="O966" s="6"/>
      <c r="P966" s="6"/>
      <c r="R966" s="6"/>
      <c r="S966" s="6"/>
      <c r="T966" s="6"/>
      <c r="U966" s="6"/>
      <c r="V966" s="6"/>
      <c r="W966" s="6"/>
      <c r="X966" s="6"/>
    </row>
    <row r="967" spans="13:24" x14ac:dyDescent="0.3">
      <c r="M967" s="6"/>
      <c r="N967" s="6"/>
      <c r="O967" s="6"/>
      <c r="P967" s="6"/>
      <c r="R967" s="6"/>
      <c r="S967" s="6"/>
      <c r="T967" s="6"/>
      <c r="U967" s="6"/>
      <c r="V967" s="6"/>
      <c r="W967" s="6"/>
      <c r="X967" s="6"/>
    </row>
    <row r="968" spans="13:24" x14ac:dyDescent="0.3">
      <c r="M968" s="6"/>
      <c r="N968" s="6"/>
      <c r="O968" s="6"/>
      <c r="P968" s="6"/>
      <c r="R968" s="6"/>
      <c r="S968" s="6"/>
      <c r="T968" s="6"/>
      <c r="U968" s="6"/>
      <c r="V968" s="6"/>
      <c r="W968" s="6"/>
      <c r="X968" s="6"/>
    </row>
    <row r="969" spans="13:24" x14ac:dyDescent="0.3">
      <c r="M969" s="6"/>
      <c r="N969" s="6"/>
      <c r="O969" s="6"/>
      <c r="P969" s="6"/>
      <c r="R969" s="6"/>
      <c r="S969" s="6"/>
      <c r="T969" s="6"/>
      <c r="U969" s="6"/>
      <c r="V969" s="6"/>
      <c r="W969" s="6"/>
      <c r="X969" s="6"/>
    </row>
    <row r="970" spans="13:24" x14ac:dyDescent="0.3">
      <c r="M970" s="6"/>
      <c r="N970" s="6"/>
      <c r="O970" s="6"/>
      <c r="P970" s="6"/>
      <c r="R970" s="6"/>
      <c r="S970" s="6"/>
      <c r="T970" s="6"/>
      <c r="U970" s="6"/>
      <c r="V970" s="6"/>
      <c r="W970" s="6"/>
      <c r="X970" s="6"/>
    </row>
    <row r="971" spans="13:24" x14ac:dyDescent="0.3">
      <c r="M971" s="6"/>
      <c r="N971" s="6"/>
      <c r="O971" s="6"/>
      <c r="P971" s="6"/>
      <c r="R971" s="6"/>
      <c r="S971" s="6"/>
      <c r="T971" s="6"/>
      <c r="U971" s="6"/>
      <c r="V971" s="6"/>
      <c r="W971" s="6"/>
      <c r="X971" s="6"/>
    </row>
    <row r="972" spans="13:24" x14ac:dyDescent="0.3">
      <c r="M972" s="6"/>
      <c r="N972" s="6"/>
      <c r="O972" s="6"/>
      <c r="P972" s="6"/>
      <c r="R972" s="6"/>
      <c r="S972" s="6"/>
      <c r="T972" s="6"/>
      <c r="U972" s="6"/>
      <c r="V972" s="6"/>
      <c r="W972" s="6"/>
      <c r="X972" s="6"/>
    </row>
    <row r="973" spans="13:24" x14ac:dyDescent="0.3">
      <c r="M973" s="6"/>
      <c r="N973" s="6"/>
      <c r="O973" s="6"/>
      <c r="P973" s="6"/>
      <c r="R973" s="6"/>
      <c r="S973" s="6"/>
      <c r="T973" s="6"/>
      <c r="U973" s="6"/>
      <c r="V973" s="6"/>
      <c r="W973" s="6"/>
      <c r="X973" s="6"/>
    </row>
    <row r="974" spans="13:24" x14ac:dyDescent="0.3">
      <c r="M974" s="6"/>
      <c r="N974" s="6"/>
      <c r="O974" s="6"/>
      <c r="P974" s="6"/>
      <c r="R974" s="6"/>
      <c r="S974" s="6"/>
      <c r="T974" s="6"/>
      <c r="U974" s="6"/>
      <c r="V974" s="6"/>
      <c r="W974" s="6"/>
      <c r="X974" s="6"/>
    </row>
    <row r="975" spans="13:24" x14ac:dyDescent="0.3">
      <c r="M975" s="6"/>
      <c r="N975" s="6"/>
      <c r="O975" s="6"/>
      <c r="P975" s="6"/>
      <c r="R975" s="6"/>
      <c r="S975" s="6"/>
      <c r="T975" s="6"/>
      <c r="U975" s="6"/>
      <c r="V975" s="6"/>
      <c r="W975" s="6"/>
      <c r="X975" s="6"/>
    </row>
    <row r="976" spans="13:24" x14ac:dyDescent="0.3">
      <c r="M976" s="6"/>
      <c r="N976" s="6"/>
      <c r="O976" s="6"/>
      <c r="P976" s="6"/>
      <c r="R976" s="6"/>
      <c r="S976" s="6"/>
      <c r="T976" s="6"/>
      <c r="U976" s="6"/>
      <c r="V976" s="6"/>
      <c r="W976" s="6"/>
      <c r="X976" s="6"/>
    </row>
    <row r="977" spans="13:24" x14ac:dyDescent="0.3">
      <c r="M977" s="6"/>
      <c r="N977" s="6"/>
      <c r="O977" s="6"/>
      <c r="P977" s="6"/>
      <c r="R977" s="6"/>
      <c r="S977" s="6"/>
      <c r="T977" s="6"/>
      <c r="U977" s="6"/>
      <c r="V977" s="6"/>
      <c r="W977" s="6"/>
      <c r="X977" s="6"/>
    </row>
    <row r="978" spans="13:24" x14ac:dyDescent="0.3">
      <c r="M978" s="6"/>
      <c r="N978" s="6"/>
      <c r="O978" s="6"/>
      <c r="P978" s="6"/>
      <c r="R978" s="6"/>
      <c r="S978" s="6"/>
      <c r="T978" s="6"/>
      <c r="U978" s="6"/>
      <c r="V978" s="6"/>
      <c r="W978" s="6"/>
      <c r="X978" s="6"/>
    </row>
    <row r="979" spans="13:24" x14ac:dyDescent="0.3">
      <c r="M979" s="6"/>
      <c r="N979" s="6"/>
      <c r="O979" s="6"/>
      <c r="P979" s="6"/>
      <c r="R979" s="6"/>
      <c r="S979" s="6"/>
      <c r="T979" s="6"/>
      <c r="U979" s="6"/>
      <c r="V979" s="6"/>
      <c r="W979" s="6"/>
      <c r="X979" s="6"/>
    </row>
    <row r="980" spans="13:24" x14ac:dyDescent="0.3">
      <c r="M980" s="6"/>
      <c r="N980" s="6"/>
      <c r="O980" s="6"/>
      <c r="P980" s="6"/>
      <c r="R980" s="6"/>
      <c r="S980" s="6"/>
      <c r="T980" s="6"/>
      <c r="U980" s="6"/>
      <c r="V980" s="6"/>
      <c r="W980" s="6"/>
      <c r="X980" s="6"/>
    </row>
    <row r="981" spans="13:24" x14ac:dyDescent="0.3">
      <c r="M981" s="6"/>
      <c r="N981" s="6"/>
      <c r="O981" s="6"/>
      <c r="P981" s="6"/>
      <c r="R981" s="6"/>
      <c r="S981" s="6"/>
      <c r="T981" s="6"/>
      <c r="U981" s="6"/>
      <c r="V981" s="6"/>
      <c r="W981" s="6"/>
      <c r="X981" s="6"/>
    </row>
    <row r="982" spans="13:24" x14ac:dyDescent="0.3">
      <c r="M982" s="6"/>
      <c r="N982" s="6"/>
      <c r="O982" s="6"/>
      <c r="P982" s="6"/>
      <c r="R982" s="6"/>
      <c r="S982" s="6"/>
      <c r="T982" s="6"/>
      <c r="U982" s="6"/>
      <c r="V982" s="6"/>
      <c r="W982" s="6"/>
      <c r="X982" s="6"/>
    </row>
    <row r="983" spans="13:24" x14ac:dyDescent="0.3">
      <c r="M983" s="6"/>
      <c r="N983" s="6"/>
      <c r="O983" s="6"/>
      <c r="P983" s="6"/>
      <c r="R983" s="6"/>
      <c r="S983" s="6"/>
      <c r="T983" s="6"/>
      <c r="U983" s="6"/>
      <c r="V983" s="6"/>
      <c r="W983" s="6"/>
      <c r="X983" s="6"/>
    </row>
    <row r="984" spans="13:24" x14ac:dyDescent="0.3">
      <c r="M984" s="6"/>
      <c r="N984" s="6"/>
      <c r="O984" s="6"/>
      <c r="P984" s="6"/>
      <c r="R984" s="6"/>
      <c r="S984" s="6"/>
      <c r="T984" s="6"/>
      <c r="U984" s="6"/>
      <c r="V984" s="6"/>
      <c r="W984" s="6"/>
      <c r="X984" s="6"/>
    </row>
    <row r="985" spans="13:24" x14ac:dyDescent="0.3">
      <c r="M985" s="6"/>
      <c r="N985" s="6"/>
      <c r="O985" s="6"/>
      <c r="P985" s="6"/>
      <c r="R985" s="6"/>
      <c r="S985" s="6"/>
      <c r="T985" s="6"/>
      <c r="U985" s="6"/>
      <c r="V985" s="6"/>
      <c r="W985" s="6"/>
      <c r="X985" s="6"/>
    </row>
    <row r="986" spans="13:24" x14ac:dyDescent="0.3">
      <c r="M986" s="6"/>
      <c r="N986" s="6"/>
      <c r="O986" s="6"/>
      <c r="P986" s="6"/>
      <c r="R986" s="6"/>
      <c r="S986" s="6"/>
      <c r="T986" s="6"/>
      <c r="U986" s="6"/>
      <c r="V986" s="6"/>
      <c r="W986" s="6"/>
      <c r="X986" s="6"/>
    </row>
    <row r="987" spans="13:24" x14ac:dyDescent="0.3">
      <c r="M987" s="6"/>
      <c r="N987" s="6"/>
      <c r="O987" s="6"/>
      <c r="P987" s="6"/>
      <c r="R987" s="6"/>
      <c r="S987" s="6"/>
      <c r="T987" s="6"/>
      <c r="U987" s="6"/>
      <c r="V987" s="6"/>
      <c r="W987" s="6"/>
      <c r="X987" s="6"/>
    </row>
    <row r="988" spans="13:24" x14ac:dyDescent="0.3">
      <c r="M988" s="6"/>
      <c r="N988" s="6"/>
      <c r="O988" s="6"/>
      <c r="P988" s="6"/>
      <c r="R988" s="6"/>
      <c r="S988" s="6"/>
      <c r="T988" s="6"/>
      <c r="U988" s="6"/>
      <c r="V988" s="6"/>
      <c r="W988" s="6"/>
      <c r="X988" s="6"/>
    </row>
    <row r="989" spans="13:24" x14ac:dyDescent="0.3">
      <c r="M989" s="6"/>
      <c r="N989" s="6"/>
      <c r="O989" s="6"/>
      <c r="P989" s="6"/>
      <c r="R989" s="6"/>
      <c r="S989" s="6"/>
      <c r="T989" s="6"/>
      <c r="U989" s="6"/>
      <c r="V989" s="6"/>
      <c r="W989" s="6"/>
      <c r="X989" s="6"/>
    </row>
    <row r="990" spans="13:24" x14ac:dyDescent="0.3">
      <c r="M990" s="6"/>
      <c r="N990" s="6"/>
      <c r="O990" s="6"/>
      <c r="P990" s="6"/>
      <c r="R990" s="6"/>
      <c r="S990" s="6"/>
      <c r="T990" s="6"/>
      <c r="U990" s="6"/>
      <c r="V990" s="6"/>
      <c r="W990" s="6"/>
      <c r="X990" s="6"/>
    </row>
    <row r="991" spans="13:24" x14ac:dyDescent="0.3">
      <c r="M991" s="6"/>
      <c r="N991" s="6"/>
      <c r="O991" s="6"/>
      <c r="P991" s="6"/>
      <c r="R991" s="6"/>
      <c r="S991" s="6"/>
      <c r="T991" s="6"/>
      <c r="U991" s="6"/>
      <c r="V991" s="6"/>
      <c r="W991" s="6"/>
      <c r="X991" s="6"/>
    </row>
    <row r="992" spans="13:24" x14ac:dyDescent="0.3">
      <c r="M992" s="6"/>
      <c r="N992" s="6"/>
      <c r="O992" s="6"/>
      <c r="P992" s="6"/>
      <c r="R992" s="6"/>
      <c r="S992" s="6"/>
      <c r="T992" s="6"/>
      <c r="U992" s="6"/>
      <c r="V992" s="6"/>
      <c r="W992" s="6"/>
      <c r="X992" s="6"/>
    </row>
    <row r="993" spans="13:24" x14ac:dyDescent="0.3">
      <c r="M993" s="6"/>
      <c r="N993" s="6"/>
      <c r="O993" s="6"/>
      <c r="P993" s="6"/>
      <c r="R993" s="6"/>
      <c r="S993" s="6"/>
      <c r="T993" s="6"/>
      <c r="U993" s="6"/>
      <c r="V993" s="6"/>
      <c r="W993" s="6"/>
      <c r="X993" s="6"/>
    </row>
    <row r="994" spans="13:24" x14ac:dyDescent="0.3">
      <c r="M994" s="6"/>
      <c r="N994" s="6"/>
      <c r="O994" s="6"/>
      <c r="P994" s="6"/>
      <c r="R994" s="6"/>
      <c r="S994" s="6"/>
      <c r="T994" s="6"/>
      <c r="U994" s="6"/>
      <c r="V994" s="6"/>
      <c r="W994" s="6"/>
      <c r="X994" s="6"/>
    </row>
    <row r="995" spans="13:24" x14ac:dyDescent="0.3">
      <c r="M995" s="6"/>
      <c r="N995" s="6"/>
      <c r="O995" s="6"/>
      <c r="P995" s="6"/>
      <c r="R995" s="6"/>
      <c r="S995" s="6"/>
      <c r="T995" s="6"/>
      <c r="U995" s="6"/>
      <c r="V995" s="6"/>
      <c r="W995" s="6"/>
      <c r="X995" s="6"/>
    </row>
    <row r="996" spans="13:24" x14ac:dyDescent="0.3">
      <c r="M996" s="6"/>
      <c r="N996" s="6"/>
      <c r="O996" s="6"/>
      <c r="P996" s="6"/>
      <c r="R996" s="6"/>
      <c r="S996" s="6"/>
      <c r="T996" s="6"/>
      <c r="U996" s="6"/>
      <c r="V996" s="6"/>
      <c r="W996" s="6"/>
      <c r="X996" s="6"/>
    </row>
    <row r="997" spans="13:24" x14ac:dyDescent="0.3">
      <c r="M997" s="6"/>
      <c r="N997" s="6"/>
      <c r="O997" s="6"/>
      <c r="P997" s="6"/>
      <c r="R997" s="6"/>
      <c r="S997" s="6"/>
      <c r="T997" s="6"/>
      <c r="U997" s="6"/>
      <c r="V997" s="6"/>
      <c r="W997" s="6"/>
      <c r="X997" s="6"/>
    </row>
    <row r="998" spans="13:24" x14ac:dyDescent="0.3">
      <c r="M998" s="6"/>
      <c r="N998" s="6"/>
      <c r="O998" s="6"/>
      <c r="P998" s="6"/>
      <c r="R998" s="6"/>
      <c r="S998" s="6"/>
      <c r="T998" s="6"/>
      <c r="U998" s="6"/>
      <c r="V998" s="6"/>
      <c r="W998" s="6"/>
      <c r="X998" s="6"/>
    </row>
    <row r="999" spans="13:24" x14ac:dyDescent="0.3">
      <c r="M999" s="6"/>
      <c r="N999" s="6"/>
      <c r="O999" s="6"/>
      <c r="P999" s="6"/>
      <c r="R999" s="6"/>
      <c r="S999" s="6"/>
      <c r="T999" s="6"/>
      <c r="U999" s="6"/>
      <c r="V999" s="6"/>
      <c r="W999" s="6"/>
      <c r="X999" s="6"/>
    </row>
    <row r="1000" spans="13:24" x14ac:dyDescent="0.3">
      <c r="M1000" s="6"/>
      <c r="N1000" s="6"/>
      <c r="O1000" s="6"/>
      <c r="P1000" s="6"/>
      <c r="R1000" s="6"/>
      <c r="S1000" s="6"/>
      <c r="T1000" s="6"/>
      <c r="U1000" s="6"/>
      <c r="V1000" s="6"/>
      <c r="W1000" s="6"/>
      <c r="X1000" s="6"/>
    </row>
    <row r="1001" spans="13:24" x14ac:dyDescent="0.3">
      <c r="M1001" s="6"/>
      <c r="N1001" s="6"/>
      <c r="O1001" s="6"/>
      <c r="P1001" s="6"/>
      <c r="R1001" s="6"/>
      <c r="S1001" s="6"/>
      <c r="T1001" s="6"/>
      <c r="U1001" s="6"/>
      <c r="V1001" s="6"/>
      <c r="W1001" s="6"/>
      <c r="X1001" s="6"/>
    </row>
    <row r="1002" spans="13:24" x14ac:dyDescent="0.3">
      <c r="M1002" s="6"/>
      <c r="N1002" s="6"/>
      <c r="O1002" s="6"/>
      <c r="P1002" s="6"/>
      <c r="R1002" s="6"/>
      <c r="S1002" s="6"/>
      <c r="T1002" s="6"/>
      <c r="U1002" s="6"/>
      <c r="V1002" s="6"/>
      <c r="W1002" s="6"/>
      <c r="X1002" s="6"/>
    </row>
    <row r="1003" spans="13:24" x14ac:dyDescent="0.3">
      <c r="M1003" s="6"/>
      <c r="N1003" s="6"/>
      <c r="O1003" s="6"/>
      <c r="P1003" s="6"/>
      <c r="R1003" s="6"/>
      <c r="S1003" s="6"/>
      <c r="T1003" s="6"/>
      <c r="U1003" s="6"/>
      <c r="V1003" s="6"/>
      <c r="W1003" s="6"/>
      <c r="X1003" s="6"/>
    </row>
    <row r="1004" spans="13:24" x14ac:dyDescent="0.3">
      <c r="M1004" s="6"/>
      <c r="N1004" s="6"/>
      <c r="O1004" s="6"/>
      <c r="P1004" s="6"/>
      <c r="R1004" s="6"/>
      <c r="S1004" s="6"/>
      <c r="T1004" s="6"/>
      <c r="U1004" s="6"/>
      <c r="V1004" s="6"/>
      <c r="W1004" s="6"/>
      <c r="X1004" s="6"/>
    </row>
    <row r="1005" spans="13:24" x14ac:dyDescent="0.3">
      <c r="M1005" s="6"/>
      <c r="N1005" s="6"/>
      <c r="O1005" s="6"/>
      <c r="P1005" s="6"/>
      <c r="R1005" s="6"/>
      <c r="S1005" s="6"/>
      <c r="T1005" s="6"/>
      <c r="U1005" s="6"/>
      <c r="V1005" s="6"/>
      <c r="W1005" s="6"/>
      <c r="X1005" s="6"/>
    </row>
    <row r="1006" spans="13:24" x14ac:dyDescent="0.3">
      <c r="M1006" s="6"/>
      <c r="N1006" s="6"/>
      <c r="O1006" s="6"/>
      <c r="P1006" s="6"/>
      <c r="R1006" s="6"/>
      <c r="S1006" s="6"/>
      <c r="T1006" s="6"/>
      <c r="U1006" s="6"/>
      <c r="V1006" s="6"/>
      <c r="W1006" s="6"/>
      <c r="X1006" s="6"/>
    </row>
    <row r="1007" spans="13:24" x14ac:dyDescent="0.3">
      <c r="M1007" s="6"/>
      <c r="N1007" s="6"/>
      <c r="O1007" s="6"/>
      <c r="P1007" s="6"/>
      <c r="R1007" s="6"/>
      <c r="S1007" s="6"/>
      <c r="T1007" s="6"/>
      <c r="U1007" s="6"/>
      <c r="V1007" s="6"/>
      <c r="W1007" s="6"/>
      <c r="X1007" s="6"/>
    </row>
    <row r="1008" spans="13:24" x14ac:dyDescent="0.3">
      <c r="M1008" s="6"/>
      <c r="N1008" s="6"/>
      <c r="O1008" s="6"/>
      <c r="P1008" s="6"/>
      <c r="R1008" s="6"/>
      <c r="S1008" s="6"/>
      <c r="T1008" s="6"/>
      <c r="U1008" s="6"/>
      <c r="V1008" s="6"/>
      <c r="W1008" s="6"/>
      <c r="X1008" s="6"/>
    </row>
    <row r="1009" spans="13:24" x14ac:dyDescent="0.3">
      <c r="M1009" s="6"/>
      <c r="N1009" s="6"/>
      <c r="O1009" s="6"/>
      <c r="P1009" s="6"/>
      <c r="R1009" s="6"/>
      <c r="S1009" s="6"/>
      <c r="T1009" s="6"/>
      <c r="U1009" s="6"/>
      <c r="V1009" s="6"/>
      <c r="W1009" s="6"/>
      <c r="X1009" s="6"/>
    </row>
    <row r="1010" spans="13:24" x14ac:dyDescent="0.3">
      <c r="M1010" s="6"/>
      <c r="N1010" s="6"/>
      <c r="O1010" s="6"/>
      <c r="P1010" s="6"/>
      <c r="R1010" s="6"/>
      <c r="S1010" s="6"/>
      <c r="T1010" s="6"/>
      <c r="U1010" s="6"/>
      <c r="V1010" s="6"/>
      <c r="W1010" s="6"/>
      <c r="X1010" s="6"/>
    </row>
    <row r="1011" spans="13:24" x14ac:dyDescent="0.3">
      <c r="M1011" s="6"/>
      <c r="N1011" s="6"/>
      <c r="O1011" s="6"/>
      <c r="P1011" s="6"/>
      <c r="R1011" s="6"/>
      <c r="S1011" s="6"/>
      <c r="T1011" s="6"/>
      <c r="U1011" s="6"/>
      <c r="V1011" s="6"/>
      <c r="W1011" s="6"/>
      <c r="X1011" s="6"/>
    </row>
    <row r="1012" spans="13:24" x14ac:dyDescent="0.3">
      <c r="M1012" s="6"/>
      <c r="N1012" s="6"/>
      <c r="O1012" s="6"/>
      <c r="P1012" s="6"/>
      <c r="R1012" s="6"/>
      <c r="S1012" s="6"/>
      <c r="T1012" s="6"/>
      <c r="U1012" s="6"/>
      <c r="V1012" s="6"/>
      <c r="W1012" s="6"/>
      <c r="X1012" s="6"/>
    </row>
    <row r="1013" spans="13:24" x14ac:dyDescent="0.3">
      <c r="M1013" s="6"/>
      <c r="N1013" s="6"/>
      <c r="O1013" s="6"/>
      <c r="P1013" s="6"/>
      <c r="R1013" s="6"/>
      <c r="S1013" s="6"/>
      <c r="T1013" s="6"/>
      <c r="U1013" s="6"/>
      <c r="V1013" s="6"/>
      <c r="W1013" s="6"/>
      <c r="X1013" s="6"/>
    </row>
    <row r="1014" spans="13:24" x14ac:dyDescent="0.3">
      <c r="M1014" s="6"/>
      <c r="N1014" s="6"/>
      <c r="O1014" s="6"/>
      <c r="P1014" s="6"/>
      <c r="R1014" s="6"/>
      <c r="S1014" s="6"/>
      <c r="T1014" s="6"/>
      <c r="U1014" s="6"/>
      <c r="V1014" s="6"/>
      <c r="W1014" s="6"/>
      <c r="X1014" s="6"/>
    </row>
    <row r="1015" spans="13:24" x14ac:dyDescent="0.3">
      <c r="M1015" s="6"/>
      <c r="N1015" s="6"/>
      <c r="O1015" s="6"/>
      <c r="P1015" s="6"/>
      <c r="R1015" s="6"/>
      <c r="S1015" s="6"/>
      <c r="T1015" s="6"/>
      <c r="U1015" s="6"/>
      <c r="V1015" s="6"/>
      <c r="W1015" s="6"/>
      <c r="X1015" s="6"/>
    </row>
    <row r="1016" spans="13:24" x14ac:dyDescent="0.3">
      <c r="M1016" s="6"/>
      <c r="N1016" s="6"/>
      <c r="O1016" s="6"/>
      <c r="P1016" s="6"/>
      <c r="R1016" s="6"/>
      <c r="S1016" s="6"/>
      <c r="T1016" s="6"/>
      <c r="U1016" s="6"/>
      <c r="V1016" s="6"/>
      <c r="W1016" s="6"/>
      <c r="X1016" s="6"/>
    </row>
    <row r="1017" spans="13:24" x14ac:dyDescent="0.3">
      <c r="M1017" s="6"/>
      <c r="N1017" s="6"/>
      <c r="O1017" s="6"/>
      <c r="P1017" s="6"/>
      <c r="R1017" s="6"/>
      <c r="S1017" s="6"/>
      <c r="T1017" s="6"/>
      <c r="U1017" s="6"/>
      <c r="V1017" s="6"/>
      <c r="W1017" s="6"/>
      <c r="X1017" s="6"/>
    </row>
    <row r="1018" spans="13:24" x14ac:dyDescent="0.3">
      <c r="M1018" s="6"/>
      <c r="N1018" s="6"/>
      <c r="O1018" s="6"/>
      <c r="P1018" s="6"/>
      <c r="R1018" s="6"/>
      <c r="S1018" s="6"/>
      <c r="T1018" s="6"/>
      <c r="U1018" s="6"/>
      <c r="V1018" s="6"/>
      <c r="W1018" s="6"/>
      <c r="X1018" s="6"/>
    </row>
    <row r="1019" spans="13:24" x14ac:dyDescent="0.3">
      <c r="M1019" s="6"/>
      <c r="N1019" s="6"/>
      <c r="O1019" s="6"/>
      <c r="P1019" s="6"/>
      <c r="R1019" s="6"/>
      <c r="S1019" s="6"/>
      <c r="T1019" s="6"/>
      <c r="U1019" s="6"/>
      <c r="V1019" s="6"/>
      <c r="W1019" s="6"/>
      <c r="X1019" s="6"/>
    </row>
    <row r="1020" spans="13:24" x14ac:dyDescent="0.3">
      <c r="M1020" s="6"/>
      <c r="N1020" s="6"/>
      <c r="O1020" s="6"/>
      <c r="P1020" s="6"/>
      <c r="R1020" s="6"/>
      <c r="S1020" s="6"/>
      <c r="T1020" s="6"/>
      <c r="U1020" s="6"/>
      <c r="V1020" s="6"/>
      <c r="W1020" s="6"/>
      <c r="X1020" s="6"/>
    </row>
    <row r="1021" spans="13:24" x14ac:dyDescent="0.3">
      <c r="M1021" s="6"/>
      <c r="N1021" s="6"/>
      <c r="O1021" s="6"/>
      <c r="P1021" s="6"/>
      <c r="R1021" s="6"/>
      <c r="S1021" s="6"/>
      <c r="T1021" s="6"/>
      <c r="U1021" s="6"/>
      <c r="V1021" s="6"/>
      <c r="W1021" s="6"/>
      <c r="X1021" s="6"/>
    </row>
    <row r="1022" spans="13:24" x14ac:dyDescent="0.3">
      <c r="M1022" s="6"/>
      <c r="N1022" s="6"/>
      <c r="O1022" s="6"/>
      <c r="P1022" s="6"/>
      <c r="R1022" s="6"/>
      <c r="S1022" s="6"/>
      <c r="T1022" s="6"/>
      <c r="U1022" s="6"/>
      <c r="V1022" s="6"/>
      <c r="W1022" s="6"/>
      <c r="X1022" s="6"/>
    </row>
    <row r="1023" spans="13:24" x14ac:dyDescent="0.3">
      <c r="M1023" s="6"/>
      <c r="N1023" s="6"/>
      <c r="O1023" s="6"/>
      <c r="P1023" s="6"/>
      <c r="R1023" s="6"/>
      <c r="S1023" s="6"/>
      <c r="T1023" s="6"/>
      <c r="U1023" s="6"/>
      <c r="V1023" s="6"/>
      <c r="W1023" s="6"/>
      <c r="X1023" s="6"/>
    </row>
    <row r="1024" spans="13:24" x14ac:dyDescent="0.3">
      <c r="M1024" s="6"/>
      <c r="N1024" s="6"/>
      <c r="O1024" s="6"/>
      <c r="P1024" s="6"/>
      <c r="R1024" s="6"/>
      <c r="S1024" s="6"/>
      <c r="T1024" s="6"/>
      <c r="U1024" s="6"/>
      <c r="V1024" s="6"/>
      <c r="W1024" s="6"/>
      <c r="X1024" s="6"/>
    </row>
    <row r="1025" spans="13:24" x14ac:dyDescent="0.3">
      <c r="M1025" s="6"/>
      <c r="N1025" s="6"/>
      <c r="O1025" s="6"/>
      <c r="P1025" s="6"/>
      <c r="R1025" s="6"/>
      <c r="S1025" s="6"/>
      <c r="T1025" s="6"/>
      <c r="U1025" s="6"/>
      <c r="V1025" s="6"/>
      <c r="W1025" s="6"/>
      <c r="X1025" s="6"/>
    </row>
    <row r="1026" spans="13:24" x14ac:dyDescent="0.3">
      <c r="M1026" s="6"/>
      <c r="N1026" s="6"/>
      <c r="O1026" s="6"/>
      <c r="P1026" s="6"/>
      <c r="R1026" s="6"/>
      <c r="S1026" s="6"/>
      <c r="T1026" s="6"/>
      <c r="U1026" s="6"/>
      <c r="V1026" s="6"/>
      <c r="W1026" s="6"/>
      <c r="X1026" s="6"/>
    </row>
    <row r="1027" spans="13:24" x14ac:dyDescent="0.3">
      <c r="M1027" s="6"/>
      <c r="N1027" s="6"/>
      <c r="O1027" s="6"/>
      <c r="P1027" s="6"/>
      <c r="R1027" s="6"/>
      <c r="S1027" s="6"/>
      <c r="T1027" s="6"/>
      <c r="U1027" s="6"/>
      <c r="V1027" s="6"/>
      <c r="W1027" s="6"/>
      <c r="X1027" s="6"/>
    </row>
    <row r="1028" spans="13:24" x14ac:dyDescent="0.3">
      <c r="M1028" s="6"/>
      <c r="N1028" s="6"/>
      <c r="O1028" s="6"/>
      <c r="P1028" s="6"/>
      <c r="R1028" s="6"/>
      <c r="S1028" s="6"/>
      <c r="T1028" s="6"/>
      <c r="U1028" s="6"/>
      <c r="V1028" s="6"/>
      <c r="W1028" s="6"/>
      <c r="X1028" s="6"/>
    </row>
    <row r="1029" spans="13:24" x14ac:dyDescent="0.3">
      <c r="M1029" s="6"/>
      <c r="N1029" s="6"/>
      <c r="O1029" s="6"/>
      <c r="P1029" s="6"/>
      <c r="R1029" s="6"/>
      <c r="S1029" s="6"/>
      <c r="T1029" s="6"/>
      <c r="U1029" s="6"/>
      <c r="V1029" s="6"/>
      <c r="W1029" s="6"/>
      <c r="X1029" s="6"/>
    </row>
    <row r="1030" spans="13:24" x14ac:dyDescent="0.3">
      <c r="M1030" s="6"/>
      <c r="N1030" s="6"/>
      <c r="O1030" s="6"/>
      <c r="P1030" s="6"/>
      <c r="R1030" s="6"/>
      <c r="S1030" s="6"/>
      <c r="T1030" s="6"/>
      <c r="U1030" s="6"/>
      <c r="V1030" s="6"/>
      <c r="W1030" s="6"/>
      <c r="X1030" s="6"/>
    </row>
    <row r="1031" spans="13:24" x14ac:dyDescent="0.3">
      <c r="M1031" s="6"/>
      <c r="N1031" s="6"/>
      <c r="O1031" s="6"/>
      <c r="P1031" s="6"/>
      <c r="R1031" s="6"/>
      <c r="S1031" s="6"/>
      <c r="T1031" s="6"/>
      <c r="U1031" s="6"/>
      <c r="V1031" s="6"/>
      <c r="W1031" s="6"/>
      <c r="X1031" s="6"/>
    </row>
    <row r="1032" spans="13:24" x14ac:dyDescent="0.3">
      <c r="M1032" s="6"/>
      <c r="N1032" s="6"/>
      <c r="O1032" s="6"/>
      <c r="P1032" s="6"/>
      <c r="R1032" s="6"/>
      <c r="S1032" s="6"/>
      <c r="T1032" s="6"/>
      <c r="U1032" s="6"/>
      <c r="V1032" s="6"/>
      <c r="W1032" s="6"/>
      <c r="X1032" s="6"/>
    </row>
    <row r="1033" spans="13:24" x14ac:dyDescent="0.3">
      <c r="M1033" s="6"/>
      <c r="N1033" s="6"/>
      <c r="O1033" s="6"/>
      <c r="P1033" s="6"/>
      <c r="R1033" s="6"/>
      <c r="S1033" s="6"/>
      <c r="T1033" s="6"/>
      <c r="U1033" s="6"/>
      <c r="V1033" s="6"/>
      <c r="W1033" s="6"/>
      <c r="X1033" s="6"/>
    </row>
    <row r="1034" spans="13:24" x14ac:dyDescent="0.3">
      <c r="M1034" s="6"/>
      <c r="N1034" s="6"/>
      <c r="O1034" s="6"/>
      <c r="P1034" s="6"/>
      <c r="R1034" s="6"/>
      <c r="S1034" s="6"/>
      <c r="T1034" s="6"/>
      <c r="U1034" s="6"/>
      <c r="V1034" s="6"/>
      <c r="W1034" s="6"/>
      <c r="X1034" s="6"/>
    </row>
    <row r="1035" spans="13:24" x14ac:dyDescent="0.3">
      <c r="M1035" s="6"/>
      <c r="N1035" s="6"/>
      <c r="O1035" s="6"/>
      <c r="P1035" s="6"/>
      <c r="R1035" s="6"/>
      <c r="S1035" s="6"/>
      <c r="T1035" s="6"/>
      <c r="U1035" s="6"/>
      <c r="V1035" s="6"/>
      <c r="W1035" s="6"/>
      <c r="X1035" s="6"/>
    </row>
    <row r="1036" spans="13:24" x14ac:dyDescent="0.3">
      <c r="M1036" s="6"/>
      <c r="N1036" s="6"/>
      <c r="O1036" s="6"/>
      <c r="P1036" s="6"/>
      <c r="R1036" s="6"/>
      <c r="S1036" s="6"/>
      <c r="T1036" s="6"/>
      <c r="U1036" s="6"/>
      <c r="V1036" s="6"/>
      <c r="W1036" s="6"/>
      <c r="X1036" s="6"/>
    </row>
    <row r="1037" spans="13:24" x14ac:dyDescent="0.3">
      <c r="M1037" s="6"/>
      <c r="N1037" s="6"/>
      <c r="O1037" s="6"/>
      <c r="P1037" s="6"/>
      <c r="R1037" s="6"/>
      <c r="S1037" s="6"/>
      <c r="T1037" s="6"/>
      <c r="U1037" s="6"/>
      <c r="V1037" s="6"/>
      <c r="W1037" s="6"/>
      <c r="X1037" s="6"/>
    </row>
    <row r="1038" spans="13:24" x14ac:dyDescent="0.3">
      <c r="M1038" s="6"/>
      <c r="N1038" s="6"/>
      <c r="O1038" s="6"/>
      <c r="P1038" s="6"/>
      <c r="R1038" s="6"/>
      <c r="S1038" s="6"/>
      <c r="T1038" s="6"/>
      <c r="U1038" s="6"/>
      <c r="V1038" s="6"/>
      <c r="W1038" s="6"/>
      <c r="X1038" s="6"/>
    </row>
    <row r="1039" spans="13:24" x14ac:dyDescent="0.3">
      <c r="M1039" s="6"/>
      <c r="N1039" s="6"/>
      <c r="O1039" s="6"/>
      <c r="P1039" s="6"/>
      <c r="R1039" s="6"/>
      <c r="S1039" s="6"/>
      <c r="T1039" s="6"/>
      <c r="U1039" s="6"/>
      <c r="V1039" s="6"/>
      <c r="W1039" s="6"/>
      <c r="X1039" s="6"/>
    </row>
    <row r="1040" spans="13:24" x14ac:dyDescent="0.3">
      <c r="M1040" s="6"/>
      <c r="N1040" s="6"/>
      <c r="O1040" s="6"/>
      <c r="P1040" s="6"/>
      <c r="R1040" s="6"/>
      <c r="S1040" s="6"/>
      <c r="T1040" s="6"/>
      <c r="U1040" s="6"/>
      <c r="V1040" s="6"/>
      <c r="W1040" s="6"/>
      <c r="X1040" s="6"/>
    </row>
    <row r="1041" spans="13:24" x14ac:dyDescent="0.3">
      <c r="M1041" s="6"/>
      <c r="N1041" s="6"/>
      <c r="O1041" s="6"/>
      <c r="P1041" s="6"/>
      <c r="R1041" s="6"/>
      <c r="S1041" s="6"/>
      <c r="T1041" s="6"/>
      <c r="U1041" s="6"/>
      <c r="V1041" s="6"/>
      <c r="W1041" s="6"/>
      <c r="X1041" s="6"/>
    </row>
    <row r="1042" spans="13:24" x14ac:dyDescent="0.3">
      <c r="M1042" s="6"/>
      <c r="N1042" s="6"/>
      <c r="O1042" s="6"/>
      <c r="P1042" s="6"/>
      <c r="R1042" s="6"/>
      <c r="S1042" s="6"/>
      <c r="T1042" s="6"/>
      <c r="U1042" s="6"/>
      <c r="V1042" s="6"/>
      <c r="W1042" s="6"/>
      <c r="X1042" s="6"/>
    </row>
    <row r="1043" spans="13:24" x14ac:dyDescent="0.3">
      <c r="M1043" s="6"/>
      <c r="N1043" s="6"/>
      <c r="O1043" s="6"/>
      <c r="P1043" s="6"/>
      <c r="R1043" s="6"/>
      <c r="S1043" s="6"/>
      <c r="T1043" s="6"/>
      <c r="U1043" s="6"/>
      <c r="V1043" s="6"/>
      <c r="W1043" s="6"/>
      <c r="X1043" s="6"/>
    </row>
    <row r="1044" spans="13:24" x14ac:dyDescent="0.3">
      <c r="M1044" s="6"/>
      <c r="N1044" s="6"/>
      <c r="O1044" s="6"/>
      <c r="P1044" s="6"/>
      <c r="R1044" s="6"/>
      <c r="S1044" s="6"/>
      <c r="T1044" s="6"/>
      <c r="U1044" s="6"/>
      <c r="V1044" s="6"/>
      <c r="W1044" s="6"/>
      <c r="X1044" s="6"/>
    </row>
    <row r="1045" spans="13:24" x14ac:dyDescent="0.3">
      <c r="M1045" s="6"/>
      <c r="N1045" s="6"/>
      <c r="O1045" s="6"/>
      <c r="P1045" s="6"/>
      <c r="R1045" s="6"/>
      <c r="S1045" s="6"/>
      <c r="T1045" s="6"/>
      <c r="U1045" s="6"/>
      <c r="V1045" s="6"/>
      <c r="W1045" s="6"/>
      <c r="X1045" s="6"/>
    </row>
    <row r="1046" spans="13:24" x14ac:dyDescent="0.3">
      <c r="M1046" s="6"/>
      <c r="N1046" s="6"/>
      <c r="O1046" s="6"/>
      <c r="P1046" s="6"/>
      <c r="R1046" s="6"/>
      <c r="S1046" s="6"/>
      <c r="T1046" s="6"/>
      <c r="U1046" s="6"/>
      <c r="V1046" s="6"/>
      <c r="W1046" s="6"/>
      <c r="X1046" s="6"/>
    </row>
    <row r="1047" spans="13:24" x14ac:dyDescent="0.3">
      <c r="M1047" s="6"/>
      <c r="N1047" s="6"/>
      <c r="O1047" s="6"/>
      <c r="P1047" s="6"/>
      <c r="R1047" s="6"/>
      <c r="S1047" s="6"/>
      <c r="T1047" s="6"/>
      <c r="U1047" s="6"/>
      <c r="V1047" s="6"/>
      <c r="W1047" s="6"/>
      <c r="X1047" s="6"/>
    </row>
    <row r="1048" spans="13:24" x14ac:dyDescent="0.3">
      <c r="M1048" s="6"/>
      <c r="N1048" s="6"/>
      <c r="O1048" s="6"/>
      <c r="P1048" s="6"/>
      <c r="R1048" s="6"/>
      <c r="S1048" s="6"/>
      <c r="T1048" s="6"/>
      <c r="U1048" s="6"/>
      <c r="V1048" s="6"/>
      <c r="W1048" s="6"/>
      <c r="X1048" s="6"/>
    </row>
    <row r="1049" spans="13:24" x14ac:dyDescent="0.3">
      <c r="M1049" s="6"/>
      <c r="N1049" s="6"/>
      <c r="O1049" s="6"/>
      <c r="P1049" s="6"/>
      <c r="R1049" s="6"/>
      <c r="S1049" s="6"/>
      <c r="T1049" s="6"/>
      <c r="U1049" s="6"/>
      <c r="V1049" s="6"/>
      <c r="W1049" s="6"/>
      <c r="X1049" s="6"/>
    </row>
    <row r="1050" spans="13:24" x14ac:dyDescent="0.3">
      <c r="M1050" s="6"/>
      <c r="N1050" s="6"/>
      <c r="O1050" s="6"/>
      <c r="P1050" s="6"/>
      <c r="R1050" s="6"/>
      <c r="S1050" s="6"/>
      <c r="T1050" s="6"/>
      <c r="U1050" s="6"/>
      <c r="V1050" s="6"/>
      <c r="W1050" s="6"/>
      <c r="X1050" s="6"/>
    </row>
    <row r="1051" spans="13:24" x14ac:dyDescent="0.3">
      <c r="M1051" s="6"/>
      <c r="N1051" s="6"/>
      <c r="O1051" s="6"/>
      <c r="P1051" s="6"/>
      <c r="R1051" s="6"/>
      <c r="S1051" s="6"/>
      <c r="T1051" s="6"/>
      <c r="U1051" s="6"/>
      <c r="V1051" s="6"/>
      <c r="W1051" s="6"/>
      <c r="X1051" s="6"/>
    </row>
    <row r="1052" spans="13:24" x14ac:dyDescent="0.3">
      <c r="M1052" s="6"/>
      <c r="N1052" s="6"/>
      <c r="O1052" s="6"/>
      <c r="P1052" s="6"/>
      <c r="R1052" s="6"/>
      <c r="S1052" s="6"/>
      <c r="T1052" s="6"/>
      <c r="U1052" s="6"/>
      <c r="V1052" s="6"/>
      <c r="W1052" s="6"/>
      <c r="X1052" s="6"/>
    </row>
    <row r="1053" spans="13:24" x14ac:dyDescent="0.3">
      <c r="M1053" s="6"/>
      <c r="N1053" s="6"/>
      <c r="O1053" s="6"/>
      <c r="P1053" s="6"/>
      <c r="R1053" s="6"/>
      <c r="S1053" s="6"/>
      <c r="T1053" s="6"/>
      <c r="U1053" s="6"/>
      <c r="V1053" s="6"/>
      <c r="W1053" s="6"/>
      <c r="X1053" s="6"/>
    </row>
    <row r="1054" spans="13:24" x14ac:dyDescent="0.3">
      <c r="M1054" s="6"/>
      <c r="N1054" s="6"/>
      <c r="O1054" s="6"/>
      <c r="P1054" s="6"/>
      <c r="R1054" s="6"/>
      <c r="S1054" s="6"/>
      <c r="T1054" s="6"/>
      <c r="U1054" s="6"/>
      <c r="V1054" s="6"/>
      <c r="W1054" s="6"/>
      <c r="X1054" s="6"/>
    </row>
    <row r="1055" spans="13:24" x14ac:dyDescent="0.3">
      <c r="M1055" s="6"/>
      <c r="N1055" s="6"/>
      <c r="O1055" s="6"/>
      <c r="P1055" s="6"/>
      <c r="R1055" s="6"/>
      <c r="S1055" s="6"/>
      <c r="T1055" s="6"/>
      <c r="U1055" s="6"/>
      <c r="V1055" s="6"/>
      <c r="W1055" s="6"/>
      <c r="X1055" s="6"/>
    </row>
    <row r="1056" spans="13:24" x14ac:dyDescent="0.3">
      <c r="M1056" s="6"/>
      <c r="N1056" s="6"/>
      <c r="O1056" s="6"/>
      <c r="P1056" s="6"/>
      <c r="R1056" s="6"/>
      <c r="S1056" s="6"/>
      <c r="T1056" s="6"/>
      <c r="U1056" s="6"/>
      <c r="V1056" s="6"/>
      <c r="W1056" s="6"/>
      <c r="X1056" s="6"/>
    </row>
    <row r="1057" spans="13:24" x14ac:dyDescent="0.3">
      <c r="M1057" s="6"/>
      <c r="N1057" s="6"/>
      <c r="O1057" s="6"/>
      <c r="P1057" s="6"/>
      <c r="R1057" s="6"/>
      <c r="S1057" s="6"/>
      <c r="T1057" s="6"/>
      <c r="U1057" s="6"/>
      <c r="V1057" s="6"/>
      <c r="W1057" s="6"/>
      <c r="X1057" s="6"/>
    </row>
    <row r="1058" spans="13:24" x14ac:dyDescent="0.3">
      <c r="M1058" s="6"/>
      <c r="N1058" s="6"/>
      <c r="O1058" s="6"/>
      <c r="P1058" s="6"/>
      <c r="R1058" s="6"/>
      <c r="S1058" s="6"/>
      <c r="T1058" s="6"/>
      <c r="U1058" s="6"/>
      <c r="V1058" s="6"/>
      <c r="W1058" s="6"/>
      <c r="X1058" s="6"/>
    </row>
    <row r="1059" spans="13:24" x14ac:dyDescent="0.3">
      <c r="M1059" s="6"/>
      <c r="N1059" s="6"/>
      <c r="O1059" s="6"/>
      <c r="P1059" s="6"/>
      <c r="R1059" s="6"/>
      <c r="S1059" s="6"/>
      <c r="T1059" s="6"/>
      <c r="U1059" s="6"/>
      <c r="V1059" s="6"/>
      <c r="W1059" s="6"/>
      <c r="X1059" s="6"/>
    </row>
    <row r="1060" spans="13:24" x14ac:dyDescent="0.3">
      <c r="M1060" s="6"/>
      <c r="N1060" s="6"/>
      <c r="O1060" s="6"/>
      <c r="P1060" s="6"/>
      <c r="R1060" s="6"/>
      <c r="S1060" s="6"/>
      <c r="T1060" s="6"/>
      <c r="U1060" s="6"/>
      <c r="V1060" s="6"/>
      <c r="W1060" s="6"/>
      <c r="X1060" s="6"/>
    </row>
    <row r="1061" spans="13:24" x14ac:dyDescent="0.3">
      <c r="M1061" s="6"/>
      <c r="N1061" s="6"/>
      <c r="O1061" s="6"/>
      <c r="P1061" s="6"/>
      <c r="R1061" s="6"/>
      <c r="S1061" s="6"/>
      <c r="T1061" s="6"/>
      <c r="U1061" s="6"/>
      <c r="V1061" s="6"/>
      <c r="W1061" s="6"/>
      <c r="X1061" s="6"/>
    </row>
    <row r="1062" spans="13:24" x14ac:dyDescent="0.3">
      <c r="M1062" s="6"/>
      <c r="N1062" s="6"/>
      <c r="O1062" s="6"/>
      <c r="P1062" s="6"/>
      <c r="R1062" s="6"/>
      <c r="S1062" s="6"/>
      <c r="T1062" s="6"/>
      <c r="U1062" s="6"/>
      <c r="V1062" s="6"/>
      <c r="W1062" s="6"/>
      <c r="X1062" s="6"/>
    </row>
    <row r="1063" spans="13:24" x14ac:dyDescent="0.3">
      <c r="M1063" s="6"/>
      <c r="N1063" s="6"/>
      <c r="O1063" s="6"/>
      <c r="P1063" s="6"/>
      <c r="R1063" s="6"/>
      <c r="S1063" s="6"/>
      <c r="T1063" s="6"/>
      <c r="U1063" s="6"/>
      <c r="V1063" s="6"/>
      <c r="W1063" s="6"/>
      <c r="X1063" s="6"/>
    </row>
    <row r="1064" spans="13:24" x14ac:dyDescent="0.3">
      <c r="M1064" s="6"/>
      <c r="N1064" s="6"/>
      <c r="O1064" s="6"/>
      <c r="P1064" s="6"/>
      <c r="R1064" s="6"/>
      <c r="S1064" s="6"/>
      <c r="T1064" s="6"/>
      <c r="U1064" s="6"/>
      <c r="V1064" s="6"/>
      <c r="W1064" s="6"/>
      <c r="X1064" s="6"/>
    </row>
    <row r="1065" spans="13:24" x14ac:dyDescent="0.3">
      <c r="M1065" s="6"/>
      <c r="N1065" s="6"/>
      <c r="O1065" s="6"/>
      <c r="P1065" s="6"/>
      <c r="R1065" s="6"/>
      <c r="S1065" s="6"/>
      <c r="T1065" s="6"/>
      <c r="U1065" s="6"/>
      <c r="V1065" s="6"/>
      <c r="W1065" s="6"/>
      <c r="X1065" s="6"/>
    </row>
    <row r="1066" spans="13:24" x14ac:dyDescent="0.3">
      <c r="M1066" s="6"/>
      <c r="N1066" s="6"/>
      <c r="O1066" s="6"/>
      <c r="P1066" s="6"/>
      <c r="R1066" s="6"/>
      <c r="S1066" s="6"/>
      <c r="T1066" s="6"/>
      <c r="U1066" s="6"/>
      <c r="V1066" s="6"/>
      <c r="W1066" s="6"/>
      <c r="X1066" s="6"/>
    </row>
    <row r="1067" spans="13:24" x14ac:dyDescent="0.3">
      <c r="M1067" s="6"/>
      <c r="N1067" s="6"/>
      <c r="O1067" s="6"/>
      <c r="P1067" s="6"/>
      <c r="R1067" s="6"/>
      <c r="S1067" s="6"/>
      <c r="T1067" s="6"/>
      <c r="U1067" s="6"/>
      <c r="V1067" s="6"/>
      <c r="W1067" s="6"/>
      <c r="X1067" s="6"/>
    </row>
    <row r="1068" spans="13:24" x14ac:dyDescent="0.3">
      <c r="M1068" s="6"/>
      <c r="N1068" s="6"/>
      <c r="O1068" s="6"/>
      <c r="P1068" s="6"/>
      <c r="R1068" s="6"/>
      <c r="S1068" s="6"/>
      <c r="T1068" s="6"/>
      <c r="U1068" s="6"/>
      <c r="V1068" s="6"/>
      <c r="W1068" s="6"/>
      <c r="X1068" s="6"/>
    </row>
    <row r="1069" spans="13:24" x14ac:dyDescent="0.3">
      <c r="M1069" s="6"/>
      <c r="N1069" s="6"/>
      <c r="O1069" s="6"/>
      <c r="P1069" s="6"/>
      <c r="R1069" s="6"/>
      <c r="S1069" s="6"/>
      <c r="T1069" s="6"/>
      <c r="U1069" s="6"/>
      <c r="V1069" s="6"/>
      <c r="W1069" s="6"/>
      <c r="X1069" s="6"/>
    </row>
    <row r="1070" spans="13:24" x14ac:dyDescent="0.3">
      <c r="M1070" s="6"/>
      <c r="N1070" s="6"/>
      <c r="O1070" s="6"/>
      <c r="P1070" s="6"/>
      <c r="R1070" s="6"/>
      <c r="S1070" s="6"/>
      <c r="T1070" s="6"/>
      <c r="U1070" s="6"/>
      <c r="V1070" s="6"/>
      <c r="W1070" s="6"/>
      <c r="X1070" s="6"/>
    </row>
    <row r="1071" spans="13:24" x14ac:dyDescent="0.3">
      <c r="M1071" s="6"/>
      <c r="N1071" s="6"/>
      <c r="O1071" s="6"/>
      <c r="P1071" s="6"/>
      <c r="R1071" s="6"/>
      <c r="S1071" s="6"/>
      <c r="T1071" s="6"/>
      <c r="U1071" s="6"/>
      <c r="V1071" s="6"/>
      <c r="W1071" s="6"/>
      <c r="X1071" s="6"/>
    </row>
    <row r="1072" spans="13:24" x14ac:dyDescent="0.3">
      <c r="M1072" s="6"/>
      <c r="N1072" s="6"/>
      <c r="O1072" s="6"/>
      <c r="P1072" s="6"/>
      <c r="R1072" s="6"/>
      <c r="S1072" s="6"/>
      <c r="T1072" s="6"/>
      <c r="U1072" s="6"/>
      <c r="V1072" s="6"/>
      <c r="W1072" s="6"/>
      <c r="X1072" s="6"/>
    </row>
    <row r="1073" spans="13:24" x14ac:dyDescent="0.3">
      <c r="M1073" s="6"/>
      <c r="N1073" s="6"/>
      <c r="O1073" s="6"/>
      <c r="P1073" s="6"/>
      <c r="R1073" s="6"/>
      <c r="S1073" s="6"/>
      <c r="T1073" s="6"/>
      <c r="U1073" s="6"/>
      <c r="V1073" s="6"/>
      <c r="W1073" s="6"/>
      <c r="X1073" s="6"/>
    </row>
    <row r="1074" spans="13:24" x14ac:dyDescent="0.3">
      <c r="M1074" s="6"/>
      <c r="N1074" s="6"/>
      <c r="O1074" s="6"/>
      <c r="P1074" s="6"/>
      <c r="R1074" s="6"/>
      <c r="S1074" s="6"/>
      <c r="T1074" s="6"/>
      <c r="U1074" s="6"/>
      <c r="V1074" s="6"/>
      <c r="W1074" s="6"/>
      <c r="X1074" s="6"/>
    </row>
    <row r="1075" spans="13:24" x14ac:dyDescent="0.3">
      <c r="M1075" s="6"/>
      <c r="N1075" s="6"/>
      <c r="O1075" s="6"/>
      <c r="P1075" s="6"/>
      <c r="R1075" s="6"/>
      <c r="S1075" s="6"/>
      <c r="T1075" s="6"/>
      <c r="U1075" s="6"/>
      <c r="V1075" s="6"/>
      <c r="W1075" s="6"/>
      <c r="X1075" s="6"/>
    </row>
    <row r="1076" spans="13:24" x14ac:dyDescent="0.3">
      <c r="M1076" s="6"/>
      <c r="N1076" s="6"/>
      <c r="O1076" s="6"/>
      <c r="P1076" s="6"/>
      <c r="R1076" s="6"/>
      <c r="S1076" s="6"/>
      <c r="T1076" s="6"/>
      <c r="U1076" s="6"/>
      <c r="V1076" s="6"/>
      <c r="W1076" s="6"/>
      <c r="X1076" s="6"/>
    </row>
    <row r="1077" spans="13:24" x14ac:dyDescent="0.3">
      <c r="M1077" s="6"/>
      <c r="N1077" s="6"/>
      <c r="O1077" s="6"/>
      <c r="P1077" s="6"/>
      <c r="R1077" s="6"/>
      <c r="S1077" s="6"/>
      <c r="T1077" s="6"/>
      <c r="U1077" s="6"/>
      <c r="V1077" s="6"/>
      <c r="W1077" s="6"/>
      <c r="X1077" s="6"/>
    </row>
    <row r="1078" spans="13:24" x14ac:dyDescent="0.3">
      <c r="M1078" s="6"/>
      <c r="N1078" s="6"/>
      <c r="O1078" s="6"/>
      <c r="P1078" s="6"/>
      <c r="R1078" s="6"/>
      <c r="S1078" s="6"/>
      <c r="T1078" s="6"/>
      <c r="U1078" s="6"/>
      <c r="V1078" s="6"/>
      <c r="W1078" s="6"/>
      <c r="X1078" s="6"/>
    </row>
    <row r="1079" spans="13:24" x14ac:dyDescent="0.3">
      <c r="M1079" s="6"/>
      <c r="N1079" s="6"/>
      <c r="O1079" s="6"/>
      <c r="P1079" s="6"/>
      <c r="R1079" s="6"/>
      <c r="S1079" s="6"/>
      <c r="T1079" s="6"/>
      <c r="U1079" s="6"/>
      <c r="V1079" s="6"/>
      <c r="W1079" s="6"/>
      <c r="X1079" s="6"/>
    </row>
    <row r="1080" spans="13:24" x14ac:dyDescent="0.3">
      <c r="M1080" s="6"/>
      <c r="N1080" s="6"/>
      <c r="O1080" s="6"/>
      <c r="P1080" s="6"/>
      <c r="R1080" s="6"/>
      <c r="S1080" s="6"/>
      <c r="T1080" s="6"/>
      <c r="U1080" s="6"/>
      <c r="V1080" s="6"/>
      <c r="W1080" s="6"/>
      <c r="X1080" s="6"/>
    </row>
    <row r="1081" spans="13:24" x14ac:dyDescent="0.3">
      <c r="M1081" s="6"/>
      <c r="N1081" s="6"/>
      <c r="O1081" s="6"/>
      <c r="P1081" s="6"/>
      <c r="R1081" s="6"/>
      <c r="S1081" s="6"/>
      <c r="T1081" s="6"/>
      <c r="U1081" s="6"/>
      <c r="V1081" s="6"/>
      <c r="W1081" s="6"/>
      <c r="X1081" s="6"/>
    </row>
    <row r="1082" spans="13:24" x14ac:dyDescent="0.3">
      <c r="M1082" s="6"/>
      <c r="N1082" s="6"/>
      <c r="O1082" s="6"/>
      <c r="P1082" s="6"/>
      <c r="R1082" s="6"/>
      <c r="S1082" s="6"/>
      <c r="T1082" s="6"/>
      <c r="U1082" s="6"/>
      <c r="V1082" s="6"/>
      <c r="W1082" s="6"/>
      <c r="X1082" s="6"/>
    </row>
    <row r="1083" spans="13:24" x14ac:dyDescent="0.3">
      <c r="M1083" s="6"/>
      <c r="N1083" s="6"/>
      <c r="O1083" s="6"/>
      <c r="P1083" s="6"/>
      <c r="R1083" s="6"/>
      <c r="S1083" s="6"/>
      <c r="T1083" s="6"/>
      <c r="U1083" s="6"/>
      <c r="V1083" s="6"/>
      <c r="W1083" s="6"/>
      <c r="X1083" s="6"/>
    </row>
    <row r="1084" spans="13:24" x14ac:dyDescent="0.3">
      <c r="M1084" s="6"/>
      <c r="N1084" s="6"/>
      <c r="O1084" s="6"/>
      <c r="P1084" s="6"/>
      <c r="R1084" s="6"/>
      <c r="S1084" s="6"/>
      <c r="T1084" s="6"/>
      <c r="U1084" s="6"/>
      <c r="V1084" s="6"/>
      <c r="W1084" s="6"/>
      <c r="X1084" s="6"/>
    </row>
    <row r="1085" spans="13:24" x14ac:dyDescent="0.3">
      <c r="M1085" s="6"/>
      <c r="N1085" s="6"/>
      <c r="O1085" s="6"/>
      <c r="P1085" s="6"/>
      <c r="R1085" s="6"/>
      <c r="S1085" s="6"/>
      <c r="T1085" s="6"/>
      <c r="U1085" s="6"/>
      <c r="V1085" s="6"/>
      <c r="W1085" s="6"/>
      <c r="X1085" s="6"/>
    </row>
    <row r="1086" spans="13:24" x14ac:dyDescent="0.3">
      <c r="M1086" s="6"/>
      <c r="N1086" s="6"/>
      <c r="O1086" s="6"/>
      <c r="P1086" s="6"/>
      <c r="R1086" s="6"/>
      <c r="S1086" s="6"/>
      <c r="T1086" s="6"/>
      <c r="U1086" s="6"/>
      <c r="V1086" s="6"/>
      <c r="W1086" s="6"/>
      <c r="X1086" s="6"/>
    </row>
    <row r="1087" spans="13:24" x14ac:dyDescent="0.3">
      <c r="M1087" s="6"/>
      <c r="N1087" s="6"/>
      <c r="O1087" s="6"/>
      <c r="P1087" s="6"/>
      <c r="R1087" s="6"/>
      <c r="S1087" s="6"/>
      <c r="T1087" s="6"/>
      <c r="U1087" s="6"/>
      <c r="V1087" s="6"/>
      <c r="W1087" s="6"/>
      <c r="X1087" s="6"/>
    </row>
    <row r="1088" spans="13:24" x14ac:dyDescent="0.3">
      <c r="M1088" s="6"/>
      <c r="N1088" s="6"/>
      <c r="O1088" s="6"/>
      <c r="P1088" s="6"/>
      <c r="R1088" s="6"/>
      <c r="S1088" s="6"/>
      <c r="T1088" s="6"/>
      <c r="U1088" s="6"/>
      <c r="V1088" s="6"/>
      <c r="W1088" s="6"/>
      <c r="X1088" s="6"/>
    </row>
    <row r="1089" spans="13:24" x14ac:dyDescent="0.3">
      <c r="M1089" s="6"/>
      <c r="N1089" s="6"/>
      <c r="O1089" s="6"/>
      <c r="P1089" s="6"/>
      <c r="R1089" s="6"/>
      <c r="S1089" s="6"/>
      <c r="T1089" s="6"/>
      <c r="U1089" s="6"/>
      <c r="V1089" s="6"/>
      <c r="W1089" s="6"/>
      <c r="X1089" s="6"/>
    </row>
    <row r="1090" spans="13:24" x14ac:dyDescent="0.3">
      <c r="M1090" s="6"/>
      <c r="O1090" s="6"/>
      <c r="P1090" s="6"/>
      <c r="R1090" s="6"/>
      <c r="S1090" s="6"/>
      <c r="T1090" s="6"/>
      <c r="U1090" s="6"/>
      <c r="V1090" s="6"/>
      <c r="W1090" s="6"/>
      <c r="X1090" s="6"/>
    </row>
    <row r="1091" spans="13:24" x14ac:dyDescent="0.3">
      <c r="P1091" s="6"/>
      <c r="R1091" s="6"/>
      <c r="S1091" s="6"/>
      <c r="T1091" s="6"/>
      <c r="U1091" s="6"/>
      <c r="V1091" s="6"/>
      <c r="W1091" s="6"/>
      <c r="X1091" s="6"/>
    </row>
    <row r="1092" spans="13:24" x14ac:dyDescent="0.3">
      <c r="T1092" s="6"/>
    </row>
    <row r="1093" spans="13:24" x14ac:dyDescent="0.3">
      <c r="T1093" s="6"/>
    </row>
    <row r="1094" spans="13:24" x14ac:dyDescent="0.3">
      <c r="T1094" s="6"/>
    </row>
    <row r="1095" spans="13:24" x14ac:dyDescent="0.3">
      <c r="T1095" s="6"/>
    </row>
  </sheetData>
  <sortState ref="A2:AA1095">
    <sortCondition ref="B2:B1095"/>
  </sortState>
  <conditionalFormatting sqref="O365:O383 O1:O363 O385:O404 O406 O408:O412 O415:O420 O422:O425 O427:O430 O432:O453 O455:O1048576">
    <cfRule type="cellIs" dxfId="0" priority="1" operator="greaterThan">
      <formula>10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Daphnia Magna</dc:creator>
  <cp:lastModifiedBy>Traci Popejoy</cp:lastModifiedBy>
  <dcterms:created xsi:type="dcterms:W3CDTF">2017-01-02T15:31:31Z</dcterms:created>
  <dcterms:modified xsi:type="dcterms:W3CDTF">2017-07-30T18:20:44Z</dcterms:modified>
</cp:coreProperties>
</file>